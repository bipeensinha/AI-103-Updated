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roject Setup" sheetId="2" state="visible" r:id="rId4"/>
    <sheet name="WBS Schedule" sheetId="3" state="visible" r:id="rId5"/>
    <sheet name="Milestones" sheetId="4" state="visible" r:id="rId6"/>
    <sheet name="Team &amp; Resources" sheetId="5" state="visible" r:id="rId7"/>
    <sheet name="Workstreams" sheetId="6" state="visible" r:id="rId8"/>
    <sheet name="RACI" sheetId="7" state="visible" r:id="rId9"/>
    <sheet name="KPIs" sheetId="8" state="visible" r:id="rId10"/>
    <sheet name="RAID Log" sheetId="9" state="visible" r:id="rId11"/>
    <sheet name="Holidays" sheetId="10" state="visible" r:id="rId12"/>
    <sheet name="Weekly Status Log" sheetId="11" state="visible" r:id="rId13"/>
    <sheet name="Chart Data" sheetId="12" state="visible" r:id="rId14"/>
  </sheets>
  <definedNames>
    <definedName function="false" hidden="true" localSheetId="8" name="_xlnm._FilterDatabase" vbProcedure="false">'RAID Log'!$A$4:$K$22</definedName>
    <definedName function="false" hidden="false" localSheetId="2" name="_xlnm.Print_Titles" vbProcedure="false">'WBS Schedule'!$6:$6</definedName>
    <definedName function="false" hidden="true" localSheetId="2" name="_xlnm._FilterDatabase" vbProcedure="false">'WBS Schedule'!$A$6:$U$68</definedName>
    <definedName function="false" hidden="false" name="BlendedRate" vbProcedure="false">'Project Setup'!$B$17</definedName>
    <definedName function="false" hidden="false" name="Holidays" vbProcedure="false">Holidays!$B$5:$B$34</definedName>
    <definedName function="false" hidden="false" name="MgmtReserve" vbProcedure="false">'Project Setup'!$B$18</definedName>
    <definedName function="false" hidden="false" name="ProjectStart" vbProcedure="false">'Project Setup'!$B$15</definedName>
    <definedName function="false" hidden="false" name="SprintLen" vbProcedure="false">'Project Setup'!$B$19</definedName>
    <definedName function="false" hidden="false" name="StatusDate" vbProcedure="false">'Project Setup'!$B$16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<sst xmlns="http://schemas.openxmlformats.org/spreadsheetml/2006/main" count="1147" uniqueCount="697">
  <si>
    <t xml:space="preserve">VODAFONE–VOIS INTELLIGENT AI ASSISTANT</t>
  </si>
  <si>
    <t xml:space="preserve">Executive Project Dashboard  ·  Enterprise GenAI · RAG · MCP on Microsoft Azure AI Foundry</t>
  </si>
  <si>
    <t xml:space="preserve">OVERALL PROGRESS</t>
  </si>
  <si>
    <t xml:space="preserve">SCHEDULE PERFORMANCE (SPI)</t>
  </si>
  <si>
    <t xml:space="preserve">COST PERFORMANCE (CPI)</t>
  </si>
  <si>
    <t xml:space="preserve">BUDGET AT COMPLETION</t>
  </si>
  <si>
    <t xml:space="preserve">MILESTONES ACHIEVED</t>
  </si>
  <si>
    <t xml:space="preserve">OVERALL RAG</t>
  </si>
  <si>
    <t xml:space="preserve">Based on SPI &amp; CPI thresholds</t>
  </si>
  <si>
    <t xml:space="preserve">FORECAST FINISH</t>
  </si>
  <si>
    <t xml:space="preserve">WORKING DAYS ELAPSED</t>
  </si>
  <si>
    <t xml:space="preserve">ACTIVITIES COMPLETE</t>
  </si>
  <si>
    <t xml:space="preserve">BEHIND / OVERDUE</t>
  </si>
  <si>
    <t xml:space="preserve">OPEN HIGH RISKS</t>
  </si>
  <si>
    <t xml:space="preserve">COST VARIANCE (CV)</t>
  </si>
  <si>
    <t xml:space="preserve">Activities needing attention</t>
  </si>
  <si>
    <t xml:space="preserve">KEY HIGHLIGHTS</t>
  </si>
  <si>
    <t xml:space="preserve">ISSUES, RISKS &amp; ACTIONS</t>
  </si>
  <si>
    <t xml:space="preserve">✔  M1 Architecture approved and M2 AI Assistant MVP delivered</t>
  </si>
  <si>
    <t xml:space="preserve">✖  Oracle sandbox access delayed ~2 weeks — M3 re-forecast; escalated to sponsor</t>
  </si>
  <si>
    <t xml:space="preserve">✔  Foundry IQ retrieval at 88% recall@5 on a 250-question benchmark (target 85%)</t>
  </si>
  <si>
    <t xml:space="preserve">✖  SAP connector effort over estimate — CPI below 1.0; recovery plan in Month 4</t>
  </si>
  <si>
    <t xml:space="preserve">✔  SAP and QA/testing connectors running end-to-end in non-production</t>
  </si>
  <si>
    <t xml:space="preserve">!   GPT-5 TPM quota limits load tests — increase requested with Microsoft</t>
  </si>
  <si>
    <t xml:space="preserve">✔  P95 response time 6.4 s at 50 concurrent users (target ≤ 8 s)</t>
  </si>
  <si>
    <t xml:space="preserve">!   Groundedness 87% vs 90% target — prompt &amp; citation tuning in sprint S7</t>
  </si>
  <si>
    <t xml:space="preserve">►  Next 2 weeks: Entra ID RBAC, authorization rules, AI evaluation sprint</t>
  </si>
  <si>
    <t xml:space="preserve">►  Decision needed: approve 1-week M3 slip or descope Oracle write-back demo</t>
  </si>
  <si>
    <t xml:space="preserve">1 · EARNED VALUE — PV vs EV vs AC</t>
  </si>
  <si>
    <t xml:space="preserve">2 · PERFORMANCE INDICES TREND</t>
  </si>
  <si>
    <t xml:space="preserve">3 · PHASE TIMELINE</t>
  </si>
  <si>
    <t xml:space="preserve">4 · PHASE PROGRESS</t>
  </si>
  <si>
    <t xml:space="preserve">5 · COST PERFORMANCE</t>
  </si>
  <si>
    <t xml:space="preserve">6 · ACTIVITY STATUS</t>
  </si>
  <si>
    <t xml:space="preserve">7 · RESOURCE LOADING</t>
  </si>
  <si>
    <t xml:space="preserve">8 · BURNDOWN</t>
  </si>
  <si>
    <t xml:space="preserve">9 · AI QUALITY KPIs</t>
  </si>
  <si>
    <t xml:space="preserve">10 · RAID SUMMARY</t>
  </si>
  <si>
    <t xml:space="preserve">11 · RISK EXPOSURE</t>
  </si>
  <si>
    <t xml:space="preserve">12 · RISK RATING MIX</t>
  </si>
  <si>
    <t xml:space="preserve">13 · RISK HEAT MAP (count of active risks)</t>
  </si>
  <si>
    <t xml:space="preserve">14 · MILESTONE TRACKER</t>
  </si>
  <si>
    <t xml:space="preserve">Probability ↓ / Impact →</t>
  </si>
  <si>
    <t xml:space="preserve">ID</t>
  </si>
  <si>
    <t xml:space="preserve">Milestone</t>
  </si>
  <si>
    <t xml:space="preserve">Baseline</t>
  </si>
  <si>
    <t xml:space="preserve">Forecast</t>
  </si>
  <si>
    <t xml:space="preserve">Status</t>
  </si>
  <si>
    <t xml:space="preserve">Var (d)</t>
  </si>
  <si>
    <t xml:space="preserve">15 · PHASE SUMMARY</t>
  </si>
  <si>
    <t xml:space="preserve">Phase</t>
  </si>
  <si>
    <t xml:space="preserve">Start</t>
  </si>
  <si>
    <t xml:space="preserve">Finish</t>
  </si>
  <si>
    <t xml:space="preserve">Budget ₹ L</t>
  </si>
  <si>
    <t xml:space="preserve">EV ₹ L</t>
  </si>
  <si>
    <t xml:space="preserve">AC ₹ L</t>
  </si>
  <si>
    <t xml:space="preserve">CPI</t>
  </si>
  <si>
    <t xml:space="preserve">Planned %</t>
  </si>
  <si>
    <t xml:space="preserve">Actual %</t>
  </si>
  <si>
    <t xml:space="preserve">M1 Discovery</t>
  </si>
  <si>
    <t xml:space="preserve">M2 AI Foundation</t>
  </si>
  <si>
    <t xml:space="preserve">M3 Integration</t>
  </si>
  <si>
    <t xml:space="preserve">M4 Security &amp; QA</t>
  </si>
  <si>
    <t xml:space="preserve">M5 Pilot &amp; Handover</t>
  </si>
  <si>
    <t xml:space="preserve">Total project</t>
  </si>
  <si>
    <t xml:space="preserve">Demo data for illustration · Blue cells on other sheets are inputs · Change Status Date on 'Project Setup' to roll the dashboard forward</t>
  </si>
  <si>
    <t xml:space="preserve">Project Setup &amp; Parameters</t>
  </si>
  <si>
    <t xml:space="preserve">Blue cells are inputs; every sheet calculates from these values</t>
  </si>
  <si>
    <t xml:space="preserve">Parameter</t>
  </si>
  <si>
    <t xml:space="preserve">Value</t>
  </si>
  <si>
    <t xml:space="preserve">Named range</t>
  </si>
  <si>
    <t xml:space="preserve">Notes</t>
  </si>
  <si>
    <t xml:space="preserve">Project name</t>
  </si>
  <si>
    <t xml:space="preserve">Vodafone–VOIS Intelligent AI Assistant</t>
  </si>
  <si>
    <t xml:space="preserve">Client / business unit</t>
  </si>
  <si>
    <t xml:space="preserve">Vodafone Intelligent Solutions (VOIS)</t>
  </si>
  <si>
    <t xml:space="preserve">Project code</t>
  </si>
  <si>
    <t xml:space="preserve">VOIS-GENAI-2026-014</t>
  </si>
  <si>
    <t xml:space="preserve">Project type</t>
  </si>
  <si>
    <t xml:space="preserve">Enterprise Generative AI · RAG · MCP integration</t>
  </si>
  <si>
    <t xml:space="preserve">Target platform</t>
  </si>
  <si>
    <t xml:space="preserve">Microsoft Azure AI Foundry (GPT-5, Foundry IQ)</t>
  </si>
  <si>
    <t xml:space="preserve">Azure region (demo)</t>
  </si>
  <si>
    <t xml:space="preserve">West Europe</t>
  </si>
  <si>
    <t xml:space="preserve">Delivery methodology</t>
  </si>
  <si>
    <t xml:space="preserve">Agile Scrum — 2-week sprints, monthly phase gates</t>
  </si>
  <si>
    <t xml:space="preserve">Executive sponsor</t>
  </si>
  <si>
    <t xml:space="preserve">Rajesh Menon — Head of Enterprise Applications</t>
  </si>
  <si>
    <t xml:space="preserve">Project manager</t>
  </si>
  <si>
    <t xml:space="preserve">Ananya Rao — PMP, PMI-ACP</t>
  </si>
  <si>
    <t xml:space="preserve">Product owner</t>
  </si>
  <si>
    <t xml:space="preserve">Vikram Desai — IT Service Excellence</t>
  </si>
  <si>
    <t xml:space="preserve">Project Start (Monday)</t>
  </si>
  <si>
    <t xml:space="preserve">ProjectStart</t>
  </si>
  <si>
    <t xml:space="preserve">Assumed kickoff date for the demo</t>
  </si>
  <si>
    <t xml:space="preserve">Status Date (data date)</t>
  </si>
  <si>
    <t xml:space="preserve">StatusDate</t>
  </si>
  <si>
    <t xml:space="preserve">Progress is reported as at this date (Week 13)</t>
  </si>
  <si>
    <t xml:space="preserve">Blended daily rate (₹ L / person-day)</t>
  </si>
  <si>
    <t xml:space="preserve">BlendedRate</t>
  </si>
  <si>
    <t xml:space="preserve">Demo assumption — blended onshore/offshore rate</t>
  </si>
  <si>
    <t xml:space="preserve">Management reserve (% of BAC)</t>
  </si>
  <si>
    <t xml:space="preserve">MgmtReserve</t>
  </si>
  <si>
    <t xml:space="preserve">Sprint length (calendar days)</t>
  </si>
  <si>
    <t xml:space="preserve">SprintLen</t>
  </si>
  <si>
    <t xml:space="preserve">Currency / unit</t>
  </si>
  <si>
    <t xml:space="preserve">₹ Lakh (1 L = ₹100,000)</t>
  </si>
  <si>
    <t xml:space="preserve">Vodafone–VOIS Intelligent AI Assistant — Work Breakdown Structure, Schedule &amp; Earned Value</t>
  </si>
  <si>
    <t xml:space="preserve">Dates calculate from Project Start, predecessors and Holidays · Blue cells are inputs · Values in ₹ Lakh</t>
  </si>
  <si>
    <t xml:space="preserve">Project Start:</t>
  </si>
  <si>
    <t xml:space="preserve">Status Date:</t>
  </si>
  <si>
    <t xml:space="preserve">Gantt: black = project · grey = phase · red = activity in progress/planned · green = complete · ◆ = milestone · yellow column = status week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</si>
  <si>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</si>
  <si>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</si>
  <si>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</si>
  <si>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</si>
  <si>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</si>
  <si>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+1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</si>
  <si>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</si>
  <si>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</si>
  <si>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</si>
  <si>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</si>
  <si>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</si>
  <si>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</si>
  <si>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</si>
  <si>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W8</t>
  </si>
  <si>
    <t xml:space="preserve">W9</t>
  </si>
  <si>
    <t xml:space="preserve">W10</t>
  </si>
  <si>
    <t xml:space="preserve">W11</t>
  </si>
  <si>
    <t xml:space="preserve">W12</t>
  </si>
  <si>
    <t xml:space="preserve">W13</t>
  </si>
  <si>
    <t xml:space="preserve">W14</t>
  </si>
  <si>
    <t xml:space="preserve">W15</t>
  </si>
  <si>
    <t xml:space="preserve">W16</t>
  </si>
  <si>
    <t xml:space="preserve">W17</t>
  </si>
  <si>
    <t xml:space="preserve">W18</t>
  </si>
  <si>
    <t xml:space="preserve">W19</t>
  </si>
  <si>
    <t xml:space="preserve">W20</t>
  </si>
  <si>
    <t xml:space="preserve">W21</t>
  </si>
  <si>
    <t xml:space="preserve">WBS ID</t>
  </si>
  <si>
    <t xml:space="preserve">Level</t>
  </si>
  <si>
    <t xml:space="preserve">Work Package / Activity</t>
  </si>
  <si>
    <t xml:space="preserve">Deliverable</t>
  </si>
  <si>
    <t xml:space="preserve">Responsible</t>
  </si>
  <si>
    <t xml:space="preserve">Predecessors</t>
  </si>
  <si>
    <t xml:space="preserve">Duration
(work days)</t>
  </si>
  <si>
    <t xml:space="preserve">Variance</t>
  </si>
  <si>
    <t xml:space="preserve">FTE</t>
  </si>
  <si>
    <t xml:space="preserve">Effort
(person-days)</t>
  </si>
  <si>
    <t xml:space="preserve">Budget
(BAC ₹ L)</t>
  </si>
  <si>
    <t xml:space="preserve">Planned Value
(PV ₹ L)</t>
  </si>
  <si>
    <t xml:space="preserve">Earned Value
(EV ₹ L)</t>
  </si>
  <si>
    <t xml:space="preserve">Actual Cost
(AC ₹ L)</t>
  </si>
  <si>
    <t xml:space="preserve">Sprint</t>
  </si>
  <si>
    <t xml:space="preserve">Notes / Exit Criteria</t>
  </si>
  <si>
    <t xml:space="preserve">0</t>
  </si>
  <si>
    <t xml:space="preserve">Vodafone–VOIS Intelligent AI Assistant (Pilot)</t>
  </si>
  <si>
    <t xml:space="preserve">Security-reviewed, deployment-ready pilot</t>
  </si>
  <si>
    <t xml:space="preserve">Project Manager / Product Owner</t>
  </si>
  <si>
    <t xml:space="preserve">Full enterprise rollout across all SAP/Oracle/testing apps is a subsequent phase</t>
  </si>
  <si>
    <t xml:space="preserve">1</t>
  </si>
  <si>
    <t xml:space="preserve">Month 1 — Discovery, Requirements &amp; Architecture</t>
  </si>
  <si>
    <t xml:space="preserve">Milestone M1: Architecture approved</t>
  </si>
  <si>
    <t xml:space="preserve">Project Manager</t>
  </si>
  <si>
    <t xml:space="preserve">Exit: Stakeholders approve the MVP scope, architecture, security approach, initial use cases and access requirements.</t>
  </si>
  <si>
    <t xml:space="preserve">1.1</t>
  </si>
  <si>
    <t xml:space="preserve">    Project kickoff, objectives and stakeholder identification</t>
  </si>
  <si>
    <t xml:space="preserve">Project charter</t>
  </si>
  <si>
    <t xml:space="preserve">1.2</t>
  </si>
  <si>
    <t xml:space="preserve">    Identify user personas: employees, QA, IT support, business users</t>
  </si>
  <si>
    <t xml:space="preserve">Persona catalogue</t>
  </si>
  <si>
    <t xml:space="preserve">Product Owner</t>
  </si>
  <si>
    <t xml:space="preserve">1.3</t>
  </si>
  <si>
    <t xml:space="preserve">    Gather SAP, Oracle, QA and testing use cases</t>
  </si>
  <si>
    <t xml:space="preserve">Use-case catalogue</t>
  </si>
  <si>
    <t xml:space="preserve">Product Owner / App SMEs</t>
  </si>
  <si>
    <t xml:space="preserve">1.4</t>
  </si>
  <si>
    <t xml:space="preserve">    Define functional and non-functional requirements</t>
  </si>
  <si>
    <t xml:space="preserve">Requirements specification</t>
  </si>
  <si>
    <t xml:space="preserve">1.5</t>
  </si>
  <si>
    <t xml:space="preserve">    Inventory available APIs, MCP-capable tools and documentation</t>
  </si>
  <si>
    <t xml:space="preserve">Application inventory</t>
  </si>
  <si>
    <t xml:space="preserve">Backend / MCP Engineer</t>
  </si>
  <si>
    <t xml:space="preserve">1.6</t>
  </si>
  <si>
    <t xml:space="preserve">    Assess document quality, data classification and source ownership</t>
  </si>
  <si>
    <t xml:space="preserve">Data-source assessment</t>
  </si>
  <si>
    <t xml:space="preserve">AI / RAG Engineer / App SMEs</t>
  </si>
  <si>
    <t xml:space="preserve">1.7</t>
  </si>
  <si>
    <t xml:space="preserve">    Design Azure AI Foundry and application architecture</t>
  </si>
  <si>
    <t xml:space="preserve">Architecture diagram</t>
  </si>
  <si>
    <t xml:space="preserve">Solution Architect</t>
  </si>
  <si>
    <t xml:space="preserve">1.8</t>
  </si>
  <si>
    <t xml:space="preserve">    Define RAG, Foundry IQ and MCP interaction patterns</t>
  </si>
  <si>
    <t xml:space="preserve">Integration design</t>
  </si>
  <si>
    <t xml:space="preserve">1.7, 1.6</t>
  </si>
  <si>
    <t xml:space="preserve">1.9</t>
  </si>
  <si>
    <t xml:space="preserve">    Design identity, access, network and secrets management</t>
  </si>
  <si>
    <t xml:space="preserve">Security design</t>
  </si>
  <si>
    <t xml:space="preserve">Security Engineer</t>
  </si>
  <si>
    <t xml:space="preserve">1.10</t>
  </si>
  <si>
    <t xml:space="preserve">    Create backlog, sprint plan, risks and acceptance criteria</t>
  </si>
  <si>
    <t xml:space="preserve">Delivery plan</t>
  </si>
  <si>
    <t xml:space="preserve">1.8, 1.9</t>
  </si>
  <si>
    <t xml:space="preserve">M1</t>
  </si>
  <si>
    <t xml:space="preserve">    ◆ Milestone M1 — Architecture approved</t>
  </si>
  <si>
    <t xml:space="preserve">Signed-off requirements and design</t>
  </si>
  <si>
    <t xml:space="preserve">Project Manager / Sponsor</t>
  </si>
  <si>
    <t xml:space="preserve">End of Week 4</t>
  </si>
  <si>
    <t xml:space="preserve">Gate: all phase deliverables complete before sign-off</t>
  </si>
  <si>
    <t xml:space="preserve">2</t>
  </si>
  <si>
    <t xml:space="preserve">Month 2 — AI Foundation &amp; Knowledge Retrieval</t>
  </si>
  <si>
    <t xml:space="preserve">Milestone M2: AI assistant MVP</t>
  </si>
  <si>
    <t xml:space="preserve">Exit: A user can ask questions about approved sample documentation and receive relevant, source-grounded answers through the chat interface.</t>
  </si>
  <si>
    <t xml:space="preserve">2.1</t>
  </si>
  <si>
    <t xml:space="preserve">    Provision approved Azure development resources</t>
  </si>
  <si>
    <t xml:space="preserve">Development environment</t>
  </si>
  <si>
    <t xml:space="preserve">DevOps Engineer</t>
  </si>
  <si>
    <t xml:space="preserve">2.2</t>
  </si>
  <si>
    <t xml:space="preserve">    Configure AI Foundry project and model access</t>
  </si>
  <si>
    <t xml:space="preserve">Foundry environment</t>
  </si>
  <si>
    <t xml:space="preserve">AI / RAG Engineer</t>
  </si>
  <si>
    <t xml:space="preserve">2.3</t>
  </si>
  <si>
    <t xml:space="preserve">    Validate GPT-5 availability, deployment and inference</t>
  </si>
  <si>
    <t xml:space="preserve">Model integration</t>
  </si>
  <si>
    <t xml:space="preserve">2.4</t>
  </si>
  <si>
    <t xml:space="preserve">    Evaluate GPT_Image-2 availability and visual-generation use cases</t>
  </si>
  <si>
    <t xml:space="preserve">Image capability proof of concept</t>
  </si>
  <si>
    <t xml:space="preserve">2.5</t>
  </si>
  <si>
    <t xml:space="preserve">    Prepare sample SAP, Oracle, QA and testing documents</t>
  </si>
  <si>
    <t xml:space="preserve">Curated test corpus</t>
  </si>
  <si>
    <t xml:space="preserve">App SMEs / AI / RAG Engineer</t>
  </si>
  <si>
    <t xml:space="preserve">2.6</t>
  </si>
  <si>
    <t xml:space="preserve">    Configure Foundry IQ knowledge sources and retrieval</t>
  </si>
  <si>
    <t xml:space="preserve">Knowledge retrieval pipeline</t>
  </si>
  <si>
    <t xml:space="preserve">2.3, 2.5</t>
  </si>
  <si>
    <t xml:space="preserve">2.7</t>
  </si>
  <si>
    <t xml:space="preserve">    Implement chunking, indexing and metadata strategy</t>
  </si>
  <si>
    <t xml:space="preserve">Searchable knowledge base</t>
  </si>
  <si>
    <t xml:space="preserve">2.8</t>
  </si>
  <si>
    <t xml:space="preserve">    Implement grounded answers, citations and source references</t>
  </si>
  <si>
    <t xml:space="preserve">RAG response workflow</t>
  </si>
  <si>
    <t xml:space="preserve">2.9</t>
  </si>
  <si>
    <t xml:space="preserve">    Build chat UI, conversation flow and application navigation</t>
  </si>
  <si>
    <t xml:space="preserve">Web chat prototype</t>
  </si>
  <si>
    <t xml:space="preserve">Frontend Engineer</t>
  </si>
  <si>
    <t xml:space="preserve">2.10</t>
  </si>
  <si>
    <t xml:space="preserve">    Add logging, error handling and baseline evaluation</t>
  </si>
  <si>
    <t xml:space="preserve">Baseline evaluation report</t>
  </si>
  <si>
    <t xml:space="preserve">QA Engineer / AI / RAG Engineer</t>
  </si>
  <si>
    <t xml:space="preserve">2.8, 2.9</t>
  </si>
  <si>
    <t xml:space="preserve">M2</t>
  </si>
  <si>
    <t xml:space="preserve">    ◆ Milestone M2 — AI assistant MVP</t>
  </si>
  <si>
    <t xml:space="preserve">Grounded answers from approved documents</t>
  </si>
  <si>
    <t xml:space="preserve">End of Week 8</t>
  </si>
  <si>
    <t xml:space="preserve">3</t>
  </si>
  <si>
    <t xml:space="preserve">Month 3 — MCP &amp; Enterprise Integration</t>
  </si>
  <si>
    <t xml:space="preserve">Milestone M3: Application integrations</t>
  </si>
  <si>
    <t xml:space="preserve">Exit: The assistant answers knowledge questions and executes approved, read-only operations against available test integrations (SAP/Oracle scope subject to API access, licensing and environment readiness).</t>
  </si>
  <si>
    <t xml:space="preserve">3.1</t>
  </si>
  <si>
    <t xml:space="preserve">    Define MCP server/client architecture and tool contracts</t>
  </si>
  <si>
    <t xml:space="preserve">MCP design specification</t>
  </si>
  <si>
    <t xml:space="preserve">3.2</t>
  </si>
  <si>
    <t xml:space="preserve">    Implement MCP connection and authentication</t>
  </si>
  <si>
    <t xml:space="preserve">Working MCP connection</t>
  </si>
  <si>
    <t xml:space="preserve">3.3</t>
  </si>
  <si>
    <t xml:space="preserve">    Develop application discovery and status-query tools</t>
  </si>
  <si>
    <t xml:space="preserve">Read-only tool set</t>
  </si>
  <si>
    <t xml:space="preserve">3.4</t>
  </si>
  <si>
    <t xml:space="preserve">    Integrate SAP through approved APIs or connectors</t>
  </si>
  <si>
    <t xml:space="preserve">SAP integration proof of concept</t>
  </si>
  <si>
    <t xml:space="preserve">Backend / MCP Engineer / SAP SME</t>
  </si>
  <si>
    <t xml:space="preserve">3.5</t>
  </si>
  <si>
    <t xml:space="preserve">    Integrate Oracle through approved APIs or connectors</t>
  </si>
  <si>
    <t xml:space="preserve">Oracle integration proof of concept</t>
  </si>
  <si>
    <t xml:space="preserve">Backend / MCP Engineer / Oracle SME</t>
  </si>
  <si>
    <t xml:space="preserve">3.6</t>
  </si>
  <si>
    <t xml:space="preserve">    Integrate QA and testing application interfaces</t>
  </si>
  <si>
    <t xml:space="preserve">QA/testing connector</t>
  </si>
  <si>
    <t xml:space="preserve">Backend / MCP Engineer / QA SME</t>
  </si>
  <si>
    <t xml:space="preserve">3.7</t>
  </si>
  <si>
    <t xml:space="preserve">    Implement tool selection and parameter validation</t>
  </si>
  <si>
    <t xml:space="preserve">Tool-routing workflow</t>
  </si>
  <si>
    <t xml:space="preserve">3.8</t>
  </si>
  <si>
    <t xml:space="preserve">    Add permission checks, timeouts, retries and error responses</t>
  </si>
  <si>
    <t xml:space="preserve">Resilient integration layer</t>
  </si>
  <si>
    <t xml:space="preserve">3.4, 3.5, 3.6</t>
  </si>
  <si>
    <t xml:space="preserve">3.9</t>
  </si>
  <si>
    <t xml:space="preserve">    Test retrieval-plus-tool workflows end to end</t>
  </si>
  <si>
    <t xml:space="preserve">Integration test report</t>
  </si>
  <si>
    <t xml:space="preserve">QA Engineer</t>
  </si>
  <si>
    <t xml:space="preserve">3.7, 3.8</t>
  </si>
  <si>
    <t xml:space="preserve">3.10</t>
  </si>
  <si>
    <t xml:space="preserve">    Add traceable tool execution summaries</t>
  </si>
  <si>
    <t xml:space="preserve">Tool audit records</t>
  </si>
  <si>
    <t xml:space="preserve">M3</t>
  </si>
  <si>
    <t xml:space="preserve">    ◆ Milestone M3 — Application integrations</t>
  </si>
  <si>
    <t xml:space="preserve">Demonstrable end-to-end test workflows</t>
  </si>
  <si>
    <t xml:space="preserve">End of Week 12</t>
  </si>
  <si>
    <t xml:space="preserve">4</t>
  </si>
  <si>
    <t xml:space="preserve">Month 4 — Security, Testing &amp; Quality</t>
  </si>
  <si>
    <t xml:space="preserve">Milestone M4: Release candidate</t>
  </si>
  <si>
    <t xml:space="preserve">Exit: Critical security and functional defects are resolved, agreed evaluation thresholds are met, and release risks are documented.</t>
  </si>
  <si>
    <t xml:space="preserve">4.1</t>
  </si>
  <si>
    <t xml:space="preserve">    Configure Microsoft Entra ID authentication and role-based access</t>
  </si>
  <si>
    <t xml:space="preserve">Identity and role controls</t>
  </si>
  <si>
    <t xml:space="preserve">4.2</t>
  </si>
  <si>
    <t xml:space="preserve">    Configure secrets management and secure configuration</t>
  </si>
  <si>
    <t xml:space="preserve">Secrets-management setup</t>
  </si>
  <si>
    <t xml:space="preserve">4.3</t>
  </si>
  <si>
    <t xml:space="preserve">    Enforce source-level and application-level authorization</t>
  </si>
  <si>
    <t xml:space="preserve">Access-control validation</t>
  </si>
  <si>
    <t xml:space="preserve">Security Engineer / Backend Engineer</t>
  </si>
  <si>
    <t xml:space="preserve">4.4</t>
  </si>
  <si>
    <t xml:space="preserve">    Test prompt injection, data leakage and unsafe tool requests</t>
  </si>
  <si>
    <t xml:space="preserve">AI security test report</t>
  </si>
  <si>
    <t xml:space="preserve">4.5</t>
  </si>
  <si>
    <t xml:space="preserve">    Evaluate answer correctness, grounding and citation quality</t>
  </si>
  <si>
    <t xml:space="preserve">AI evaluation report</t>
  </si>
  <si>
    <t xml:space="preserve">AI / RAG Engineer / QA Engineer</t>
  </si>
  <si>
    <t xml:space="preserve">4.6</t>
  </si>
  <si>
    <t xml:space="preserve">    Validate QA scenarios, edge cases and negative paths</t>
  </si>
  <si>
    <t xml:space="preserve">Functional QA report</t>
  </si>
  <si>
    <t xml:space="preserve">4.7</t>
  </si>
  <si>
    <t xml:space="preserve">    Test regression, integration and tool-call consistency</t>
  </si>
  <si>
    <t xml:space="preserve">Regression suite</t>
  </si>
  <si>
    <t xml:space="preserve">4.8</t>
  </si>
  <si>
    <t xml:space="preserve">    Measure response time, concurrency and failure recovery</t>
  </si>
  <si>
    <t xml:space="preserve">Performance report</t>
  </si>
  <si>
    <t xml:space="preserve">QA Engineer / DevOps Engineer</t>
  </si>
  <si>
    <t xml:space="preserve">4.9</t>
  </si>
  <si>
    <t xml:space="preserve">    Implement monitoring, tracing, audit logs and alerts</t>
  </si>
  <si>
    <t xml:space="preserve">Observability dashboard</t>
  </si>
  <si>
    <t xml:space="preserve">4.10</t>
  </si>
  <si>
    <t xml:space="preserve">    Resolve defects and prepare the release candidate</t>
  </si>
  <si>
    <t xml:space="preserve">Release candidate</t>
  </si>
  <si>
    <t xml:space="preserve">Engineering Team</t>
  </si>
  <si>
    <t xml:space="preserve">4.4, 4.8, 4.9</t>
  </si>
  <si>
    <t xml:space="preserve">M4</t>
  </si>
  <si>
    <t xml:space="preserve">    ◆ Milestone M4 — Release candidate</t>
  </si>
  <si>
    <t xml:space="preserve">Security, QA and evaluation reports</t>
  </si>
  <si>
    <t xml:space="preserve">End of Week 16</t>
  </si>
  <si>
    <t xml:space="preserve">5</t>
  </si>
  <si>
    <t xml:space="preserve">Month 5 — UAT, Pilot, Deployment &amp; Handover</t>
  </si>
  <si>
    <t xml:space="preserve">Milestone M5: Pilot accepted</t>
  </si>
  <si>
    <t xml:space="preserve">Exit: Business stakeholders accept the pilot results, operational ownership is assigned, and production deployment is approved or has a documented readiness decision.</t>
  </si>
  <si>
    <t xml:space="preserve">5.1</t>
  </si>
  <si>
    <t xml:space="preserve">    Prepare UAT scenarios and business acceptance criteria</t>
  </si>
  <si>
    <t xml:space="preserve">UAT plan</t>
  </si>
  <si>
    <t xml:space="preserve">5.2</t>
  </si>
  <si>
    <t xml:space="preserve">    Conduct employee, QA and IT support user acceptance testing</t>
  </si>
  <si>
    <t xml:space="preserve">UAT results</t>
  </si>
  <si>
    <t xml:space="preserve">QA Engineer / Business Users</t>
  </si>
  <si>
    <t xml:space="preserve">5.3</t>
  </si>
  <si>
    <t xml:space="preserve">    Validate SAP, Oracle and QA workflows with system owners</t>
  </si>
  <si>
    <t xml:space="preserve">Business validation report</t>
  </si>
  <si>
    <t xml:space="preserve">App SMEs / System Owners</t>
  </si>
  <si>
    <t xml:space="preserve">5.4</t>
  </si>
  <si>
    <t xml:space="preserve">    Collect pilot feedback and prioritize defects</t>
  </si>
  <si>
    <t xml:space="preserve">Feedback backlog</t>
  </si>
  <si>
    <t xml:space="preserve">5.2, 5.3</t>
  </si>
  <si>
    <t xml:space="preserve">5.5</t>
  </si>
  <si>
    <t xml:space="preserve">    Fix defects and perform final regression testing</t>
  </si>
  <si>
    <t xml:space="preserve">Approved build</t>
  </si>
  <si>
    <t xml:space="preserve">5.6</t>
  </si>
  <si>
    <t xml:space="preserve">    Prepare CI/CD pipeline and deployment configuration</t>
  </si>
  <si>
    <t xml:space="preserve">Deployment pipeline</t>
  </si>
  <si>
    <t xml:space="preserve">5.7</t>
  </si>
  <si>
    <t xml:space="preserve">    Validate environment configuration, access and rollback procedure</t>
  </si>
  <si>
    <t xml:space="preserve">Deployment checklist</t>
  </si>
  <si>
    <t xml:space="preserve">5.5, 5.6</t>
  </si>
  <si>
    <t xml:space="preserve">5.8</t>
  </si>
  <si>
    <t xml:space="preserve">    Deploy to the approved pilot environment</t>
  </si>
  <si>
    <t xml:space="preserve">Pilot deployment</t>
  </si>
  <si>
    <t xml:space="preserve">5.9</t>
  </si>
  <si>
    <t xml:space="preserve">    Conduct user onboarding and operational training</t>
  </si>
  <si>
    <t xml:space="preserve">User and operator guides</t>
  </si>
  <si>
    <t xml:space="preserve">Project Manager / Trainer</t>
  </si>
  <si>
    <t xml:space="preserve">5.10</t>
  </si>
  <si>
    <t xml:space="preserve">    Complete architecture, support and technical handover</t>
  </si>
  <si>
    <t xml:space="preserve">Handover package</t>
  </si>
  <si>
    <t xml:space="preserve">5.11</t>
  </si>
  <si>
    <t xml:space="preserve">    Review KPIs, acceptance criteria and outstanding risks</t>
  </si>
  <si>
    <t xml:space="preserve">Final project report</t>
  </si>
  <si>
    <t xml:space="preserve">5.9, 5.10</t>
  </si>
  <si>
    <t xml:space="preserve">M5</t>
  </si>
  <si>
    <t xml:space="preserve">    ◆ Milestone M5 — Pilot accepted</t>
  </si>
  <si>
    <t xml:space="preserve">UAT sign-off and handover</t>
  </si>
  <si>
    <t xml:space="preserve">End of Week 20</t>
  </si>
  <si>
    <t xml:space="preserve">Milestones &amp; Phase Gates</t>
  </si>
  <si>
    <t xml:space="preserve">Baseline = end of each 4-week month · Forecast and Actual dates are inputs</t>
  </si>
  <si>
    <t xml:space="preserve">Target Week</t>
  </si>
  <si>
    <t xml:space="preserve">Baseline Date</t>
  </si>
  <si>
    <t xml:space="preserve">Forecast Date</t>
  </si>
  <si>
    <t xml:space="preserve">Actual Date</t>
  </si>
  <si>
    <t xml:space="preserve">Variance
(work days)</t>
  </si>
  <si>
    <t xml:space="preserve">Acceptance Evidence</t>
  </si>
  <si>
    <t xml:space="preserve">Exit Criteria</t>
  </si>
  <si>
    <t xml:space="preserve">Architecture approved</t>
  </si>
  <si>
    <t xml:space="preserve">Week 4</t>
  </si>
  <si>
    <t xml:space="preserve">Stakeholders approve the MVP scope, architecture, security approach, initial use cases and access requirements.</t>
  </si>
  <si>
    <t xml:space="preserve">AI assistant MVP</t>
  </si>
  <si>
    <t xml:space="preserve">Week 8</t>
  </si>
  <si>
    <t xml:space="preserve">A user can ask questions about approved sample documentation and receive relevant, source-grounded answers through the chat interface.</t>
  </si>
  <si>
    <t xml:space="preserve">Application integrations</t>
  </si>
  <si>
    <t xml:space="preserve">Week 12</t>
  </si>
  <si>
    <t xml:space="preserve">The assistant answers knowledge questions and executes approved, read-only operations against available test integrations (SAP/Oracle scope subject to API access, licensing and environment readiness).</t>
  </si>
  <si>
    <t xml:space="preserve">Week 16</t>
  </si>
  <si>
    <t xml:space="preserve">Critical security and functional defects are resolved, agreed evaluation thresholds are met, and release risks are documented.</t>
  </si>
  <si>
    <t xml:space="preserve">Pilot accepted</t>
  </si>
  <si>
    <t xml:space="preserve">Week 20</t>
  </si>
  <si>
    <t xml:space="preserve">Business stakeholders accept the pilot results, operational ownership is assigned, and production deployment is approved or has a documented readiness decision.</t>
  </si>
  <si>
    <t xml:space="preserve">Team Structure &amp; Resourcing</t>
  </si>
  <si>
    <t xml:space="preserve">Blue values are editable · Cost = Headcount × Allocation × Rate × Working days</t>
  </si>
  <si>
    <t xml:space="preserve">Role</t>
  </si>
  <si>
    <t xml:space="preserve">Named Resources (demo)</t>
  </si>
  <si>
    <t xml:space="preserve">Headcount</t>
  </si>
  <si>
    <t xml:space="preserve">Allocation
(FTE %)</t>
  </si>
  <si>
    <t xml:space="preserve">Day Rate
(₹ L)</t>
  </si>
  <si>
    <t xml:space="preserve">Effective
FTE</t>
  </si>
  <si>
    <t xml:space="preserve">Cost over
Project (₹ L)</t>
  </si>
  <si>
    <t xml:space="preserve">Responsibilities</t>
  </si>
  <si>
    <t xml:space="preserve">Ananya Rao; Vikram Desai</t>
  </si>
  <si>
    <t xml:space="preserve">Scope, priorities, stakeholders, risks and acceptance</t>
  </si>
  <si>
    <t xml:space="preserve">Karthik Iyer</t>
  </si>
  <si>
    <t xml:space="preserve">Architecture decisions, integration contracts, handover</t>
  </si>
  <si>
    <t xml:space="preserve">Priya Nair; Arjun Mehta</t>
  </si>
  <si>
    <t xml:space="preserve">GPT-5, Foundry IQ, prompts, retrieval and evaluation</t>
  </si>
  <si>
    <t xml:space="preserve">Rohan Kulkarni; Sneha Joshi</t>
  </si>
  <si>
    <t xml:space="preserve">MCP tools, APIs, application connectors and orchestration</t>
  </si>
  <si>
    <t xml:space="preserve">Meera Pillai</t>
  </si>
  <si>
    <t xml:space="preserve">Chat UI, application dashboard and user experience</t>
  </si>
  <si>
    <t xml:space="preserve">Divya Shetty</t>
  </si>
  <si>
    <t xml:space="preserve">Test strategy, evaluation datasets, regression and UAT support</t>
  </si>
  <si>
    <t xml:space="preserve">Aditya Bose</t>
  </si>
  <si>
    <t xml:space="preserve">Entra ID, authorization, AI security testing</t>
  </si>
  <si>
    <t xml:space="preserve">Farhan Qureshi</t>
  </si>
  <si>
    <t xml:space="preserve">Azure provisioning, CI/CD, observability</t>
  </si>
  <si>
    <t xml:space="preserve">SAP / Oracle / QA Application SMEs</t>
  </si>
  <si>
    <t xml:space="preserve">SAP CoE; Oracle DBA team; QA tooling owners</t>
  </si>
  <si>
    <t xml:space="preserve">Use cases, API access, business validation</t>
  </si>
  <si>
    <t xml:space="preserve">Total</t>
  </si>
  <si>
    <t xml:space="preserve">Core team of ~10 named members plus shared SMEs (source plan: 7–10 core)</t>
  </si>
  <si>
    <t xml:space="preserve">Cross-Functional Workstreams</t>
  </si>
  <si>
    <t xml:space="preserve">Activities that span multiple phases; Start/End week are inputs</t>
  </si>
  <si>
    <t xml:space="preserve">Workstream</t>
  </si>
  <si>
    <t xml:space="preserve">Lead</t>
  </si>
  <si>
    <t xml:space="preserve">Start
Week</t>
  </si>
  <si>
    <t xml:space="preserve">End
Week</t>
  </si>
  <si>
    <t xml:space="preserve">Key Outputs</t>
  </si>
  <si>
    <t xml:space="preserve">Project management</t>
  </si>
  <si>
    <t xml:space="preserve">Ananya Rao</t>
  </si>
  <si>
    <t xml:space="preserve">Sprint reviews, RAID log, status reports</t>
  </si>
  <si>
    <t xml:space="preserve">Architecture and engineering</t>
  </si>
  <si>
    <t xml:space="preserve">Architecture decisions, integration contracts</t>
  </si>
  <si>
    <t xml:space="preserve">Data and knowledge engineering</t>
  </si>
  <si>
    <t xml:space="preserve">Priya Nair</t>
  </si>
  <si>
    <t xml:space="preserve">Curated content, retrieval quality</t>
  </si>
  <si>
    <t xml:space="preserve">AI and prompt engineering</t>
  </si>
  <si>
    <t xml:space="preserve">Arjun Mehta</t>
  </si>
  <si>
    <t xml:space="preserve">System instructions, grounded response flows</t>
  </si>
  <si>
    <t xml:space="preserve">MCP and API integration</t>
  </si>
  <si>
    <t xml:space="preserve">Rohan Kulkarni</t>
  </si>
  <si>
    <t xml:space="preserve">Tool servers, connectors, error handling</t>
  </si>
  <si>
    <t xml:space="preserve">Security and responsible AI</t>
  </si>
  <si>
    <t xml:space="preserve">Access reviews, threat assessments, auditability</t>
  </si>
  <si>
    <t xml:space="preserve">QA and evaluation</t>
  </si>
  <si>
    <t xml:space="preserve">Test suites, evaluation datasets, defect reports</t>
  </si>
  <si>
    <t xml:space="preserve">DevOps and observability</t>
  </si>
  <si>
    <t xml:space="preserve">CI/CD, telemetry, alerts, deployment procedures</t>
  </si>
  <si>
    <t xml:space="preserve">Change management</t>
  </si>
  <si>
    <t xml:space="preserve">Training, user feedback, support handover</t>
  </si>
  <si>
    <t xml:space="preserve">RACI Matrix</t>
  </si>
  <si>
    <t xml:space="preserve">R = Responsible · A = Accountable · C = Consulted · I = Informed</t>
  </si>
  <si>
    <t xml:space="preserve">WBS Ref</t>
  </si>
  <si>
    <t xml:space="preserve">Deliverable Group</t>
  </si>
  <si>
    <t xml:space="preserve">Project Manager / PO</t>
  </si>
  <si>
    <t xml:space="preserve">App SMEs (SAP/Oracle/QA)</t>
  </si>
  <si>
    <t xml:space="preserve">Business Sponsor</t>
  </si>
  <si>
    <t xml:space="preserve">1.1–1.4</t>
  </si>
  <si>
    <t xml:space="preserve">Charter, personas, use cases &amp; requirements</t>
  </si>
  <si>
    <t xml:space="preserve">A/R</t>
  </si>
  <si>
    <t xml:space="preserve">C</t>
  </si>
  <si>
    <t xml:space="preserve">I</t>
  </si>
  <si>
    <t xml:space="preserve">R</t>
  </si>
  <si>
    <t xml:space="preserve">A</t>
  </si>
  <si>
    <t xml:space="preserve">1.5–1.6</t>
  </si>
  <si>
    <t xml:space="preserve">Application inventory &amp; data-source assessment</t>
  </si>
  <si>
    <t xml:space="preserve">1.7–1.8</t>
  </si>
  <si>
    <t xml:space="preserve">Solution architecture &amp; RAG/MCP integration design</t>
  </si>
  <si>
    <t xml:space="preserve">Security design (identity, network, secrets)</t>
  </si>
  <si>
    <t xml:space="preserve">2.1–2.4</t>
  </si>
  <si>
    <t xml:space="preserve">Azure / AI Foundry environment &amp; model integration</t>
  </si>
  <si>
    <t xml:space="preserve">2.5–2.8</t>
  </si>
  <si>
    <t xml:space="preserve">Knowledge corpus, retrieval &amp; grounded answers</t>
  </si>
  <si>
    <t xml:space="preserve">Chat UI prototype</t>
  </si>
  <si>
    <t xml:space="preserve">3.1–3.3</t>
  </si>
  <si>
    <t xml:space="preserve">MCP architecture, connection &amp; read-only tools</t>
  </si>
  <si>
    <t xml:space="preserve">3.4–3.6</t>
  </si>
  <si>
    <t xml:space="preserve">SAP / Oracle / QA connectors</t>
  </si>
  <si>
    <t xml:space="preserve">3.7–3.10</t>
  </si>
  <si>
    <t xml:space="preserve">Tool routing, resilience &amp; audit trail</t>
  </si>
  <si>
    <t xml:space="preserve">4.1–4.4</t>
  </si>
  <si>
    <t xml:space="preserve">Identity, authorization &amp; AI security testing</t>
  </si>
  <si>
    <t xml:space="preserve">4.5–4.8</t>
  </si>
  <si>
    <t xml:space="preserve">AI evaluation, functional, regression &amp; performance testing</t>
  </si>
  <si>
    <t xml:space="preserve">4.9–4.10</t>
  </si>
  <si>
    <t xml:space="preserve">Observability &amp; release candidate</t>
  </si>
  <si>
    <t xml:space="preserve">5.1–5.5</t>
  </si>
  <si>
    <t xml:space="preserve">UAT, business validation &amp; defect resolution</t>
  </si>
  <si>
    <t xml:space="preserve">5.6–5.8</t>
  </si>
  <si>
    <t xml:space="preserve">CI/CD &amp; pilot deployment</t>
  </si>
  <si>
    <t xml:space="preserve">5.9–5.11</t>
  </si>
  <si>
    <t xml:space="preserve">Training, handover &amp; final report</t>
  </si>
  <si>
    <t xml:space="preserve">KPIs &amp; Success Measures</t>
  </si>
  <si>
    <t xml:space="preserve">Demo values · Attainment = Current vs Target (capped at 120%) · Green ≥ 100%, Amber ≥ 90%, Red &lt; 90%</t>
  </si>
  <si>
    <t xml:space="preserve">KPI</t>
  </si>
  <si>
    <t xml:space="preserve">Definition</t>
  </si>
  <si>
    <t xml:space="preserve">Measurement Method</t>
  </si>
  <si>
    <t xml:space="preserve">Direction</t>
  </si>
  <si>
    <t xml:space="preserve">Target</t>
  </si>
  <si>
    <t xml:space="preserve">Current</t>
  </si>
  <si>
    <t xml:space="preserve">Attainment</t>
  </si>
  <si>
    <t xml:space="preserve">RAG</t>
  </si>
  <si>
    <t xml:space="preserve">Trend</t>
  </si>
  <si>
    <t xml:space="preserve">Owner</t>
  </si>
  <si>
    <t xml:space="preserve">Answer groundedness</t>
  </si>
  <si>
    <t xml:space="preserve">% of answers fully supported by retrieved sources</t>
  </si>
  <si>
    <t xml:space="preserve">LLM-as-judge + human review, 250-question benchmark</t>
  </si>
  <si>
    <t xml:space="preserve">Higher</t>
  </si>
  <si>
    <t xml:space="preserve">Citation correctness</t>
  </si>
  <si>
    <t xml:space="preserve">% of citations pointing to the right source passage</t>
  </si>
  <si>
    <t xml:space="preserve">Manual audit of 100 sampled answers</t>
  </si>
  <si>
    <t xml:space="preserve">Retrieval recall@5</t>
  </si>
  <si>
    <t xml:space="preserve">Relevant document in top-5 results</t>
  </si>
  <si>
    <t xml:space="preserve">Benchmark question set vs gold labels</t>
  </si>
  <si>
    <t xml:space="preserve">Tool-call success rate</t>
  </si>
  <si>
    <t xml:space="preserve">Successful, authorized MCP calls / total</t>
  </si>
  <si>
    <t xml:space="preserve">Tool audit records (test environment)</t>
  </si>
  <si>
    <t xml:space="preserve">Unauthorized data access</t>
  </si>
  <si>
    <t xml:space="preserve">Incidents in defined security test scenarios</t>
  </si>
  <si>
    <t xml:space="preserve">Security test suite incl. prompt injection</t>
  </si>
  <si>
    <t xml:space="preserve">Lower</t>
  </si>
  <si>
    <t xml:space="preserve">P95 response time (s)</t>
  </si>
  <si>
    <t xml:space="preserve">End-to-end latency at pilot concurrency</t>
  </si>
  <si>
    <t xml:space="preserve">Load test, 50 concurrent users</t>
  </si>
  <si>
    <t xml:space="preserve">User satisfaction (CSAT)</t>
  </si>
  <si>
    <t xml:space="preserve">Average rating from demo/pilot users (1–5)</t>
  </si>
  <si>
    <t xml:space="preserve">In-app feedback + pilot survey</t>
  </si>
  <si>
    <t xml:space="preserve">Vikram Desai</t>
  </si>
  <si>
    <t xml:space="preserve">Manual lookup effort reduction</t>
  </si>
  <si>
    <t xml:space="preserve">Reduction in time spent searching documentation</t>
  </si>
  <si>
    <t xml:space="preserve">Time-and-motion study, QA &amp; IT support</t>
  </si>
  <si>
    <t xml:space="preserve">RAID Log — Risks, Assumptions, Issues &amp; Dependencies</t>
  </si>
  <si>
    <t xml:space="preserve">Score = Probability × Impact (1–5): High ≥ 15 · Medium 8–14 · Low ≤ 7</t>
  </si>
  <si>
    <t xml:space="preserve">Type</t>
  </si>
  <si>
    <t xml:space="preserve">Description</t>
  </si>
  <si>
    <t xml:space="preserve">Category</t>
  </si>
  <si>
    <t xml:space="preserve">Probability
(1–5)</t>
  </si>
  <si>
    <t xml:space="preserve">Impact
(1–5)</t>
  </si>
  <si>
    <t xml:space="preserve">Score</t>
  </si>
  <si>
    <t xml:space="preserve">Rating</t>
  </si>
  <si>
    <t xml:space="preserve">Mitigation / Response</t>
  </si>
  <si>
    <t xml:space="preserve">R-01</t>
  </si>
  <si>
    <t xml:space="preserve">Risk</t>
  </si>
  <si>
    <t xml:space="preserve">SAP/Oracle API access, licensing or non-production environments not available in time</t>
  </si>
  <si>
    <t xml:space="preserve">Integration</t>
  </si>
  <si>
    <t xml:space="preserve">Access requests raised Week 1; mock services; reduced M3 scope agreed if needed</t>
  </si>
  <si>
    <t xml:space="preserve">Open</t>
  </si>
  <si>
    <t xml:space="preserve">R-02</t>
  </si>
  <si>
    <t xml:space="preserve">GPT-5, GPT_Image-2 or Foundry IQ not available/configurable in the target Azure region</t>
  </si>
  <si>
    <t xml:space="preserve">Technology</t>
  </si>
  <si>
    <t xml:space="preserve">Availability validated in Week 6; fallback model identified; GPT_Image-2 optional</t>
  </si>
  <si>
    <t xml:space="preserve">Mitigated</t>
  </si>
  <si>
    <t xml:space="preserve">R-03</t>
  </si>
  <si>
    <t xml:space="preserve">Poor document quality or unclear source ownership degrades retrieval and grounding</t>
  </si>
  <si>
    <t xml:space="preserve">Data</t>
  </si>
  <si>
    <t xml:space="preserve">Data-source assessment; curated corpus; content owners named per source</t>
  </si>
  <si>
    <t xml:space="preserve">Monitoring</t>
  </si>
  <si>
    <t xml:space="preserve">R-04</t>
  </si>
  <si>
    <t xml:space="preserve">Confidential production data ingested into development environment</t>
  </si>
  <si>
    <t xml:space="preserve">Security</t>
  </si>
  <si>
    <t xml:space="preserve">Approved sample data only; classification gate before ingestion</t>
  </si>
  <si>
    <t xml:space="preserve">R-05</t>
  </si>
  <si>
    <t xml:space="preserve">Prompt injection or unsafe tool invocation leads to data leakage</t>
  </si>
  <si>
    <t xml:space="preserve">Read-only MCP tools; parameter validation; permission checks; red-team tests in 4.4</t>
  </si>
  <si>
    <t xml:space="preserve">R-06</t>
  </si>
  <si>
    <t xml:space="preserve">Hallucination / evaluation thresholds not met by release candidate</t>
  </si>
  <si>
    <t xml:space="preserve">Quality</t>
  </si>
  <si>
    <t xml:space="preserve">Baseline evaluation Month 2; prompt &amp; retrieval tuning; citation enforcement</t>
  </si>
  <si>
    <t xml:space="preserve">R-07</t>
  </si>
  <si>
    <t xml:space="preserve">Part-time SME availability delays validation and UAT</t>
  </si>
  <si>
    <t xml:space="preserve">Resourcing</t>
  </si>
  <si>
    <t xml:space="preserve">Fixed weekly SME slots; escalation via sponsor</t>
  </si>
  <si>
    <t xml:space="preserve">R-08</t>
  </si>
  <si>
    <t xml:space="preserve">Scope creep into write operations or additional applications</t>
  </si>
  <si>
    <t xml:space="preserve">Scope</t>
  </si>
  <si>
    <t xml:space="preserve">Change control; write operations need separate security review</t>
  </si>
  <si>
    <t xml:space="preserve">R-09</t>
  </si>
  <si>
    <t xml:space="preserve">Response-time or concurrency targets not achieved</t>
  </si>
  <si>
    <t xml:space="preserve">Performance</t>
  </si>
  <si>
    <t xml:space="preserve">Early performance spike; caching; deployment sizing</t>
  </si>
  <si>
    <t xml:space="preserve">R-10</t>
  </si>
  <si>
    <t xml:space="preserve">Low pilot adoption limits feedback and business case</t>
  </si>
  <si>
    <t xml:space="preserve">Change</t>
  </si>
  <si>
    <t xml:space="preserve">Lead with QA &amp; Testing Assistant use case; onboarding and training</t>
  </si>
  <si>
    <t xml:space="preserve">I-01</t>
  </si>
  <si>
    <t xml:space="preserve">Issue</t>
  </si>
  <si>
    <t xml:space="preserve">Oracle non-production sandbox access delayed ~2 weeks by licensing approval</t>
  </si>
  <si>
    <t xml:space="preserve">Escalated to sponsor 06-Jan; mock Oracle service used; M3 re-forecast</t>
  </si>
  <si>
    <t xml:space="preserve">I-02</t>
  </si>
  <si>
    <t xml:space="preserve">GPT-5 tokens-per-minute quota limits load testing</t>
  </si>
  <si>
    <t xml:space="preserve">Quota increase requested with Microsoft; tests throttled meanwhile</t>
  </si>
  <si>
    <t xml:space="preserve">I-03</t>
  </si>
  <si>
    <t xml:space="preserve">SAP connector effort above estimate (custom BAPI wrapper needed)</t>
  </si>
  <si>
    <t xml:space="preserve">Change absorbed in contingency; CPI recovery plan for Month 4</t>
  </si>
  <si>
    <t xml:space="preserve">A-01</t>
  </si>
  <si>
    <t xml:space="preserve">Assumption</t>
  </si>
  <si>
    <t xml:space="preserve">MVP uses read-only MCP tools only</t>
  </si>
  <si>
    <t xml:space="preserve">Validated at M1 sign-off</t>
  </si>
  <si>
    <t xml:space="preserve">Closed</t>
  </si>
  <si>
    <t xml:space="preserve">A-02</t>
  </si>
  <si>
    <t xml:space="preserve">Pilot scope is a limited set of high-value SAP, Oracle and QA use cases</t>
  </si>
  <si>
    <t xml:space="preserve">Confirmed in requirements (1.4)</t>
  </si>
  <si>
    <t xml:space="preserve">D-01</t>
  </si>
  <si>
    <t xml:space="preserve">Dependency</t>
  </si>
  <si>
    <t xml:space="preserve">Approved non-production application access, API documentation and sample data</t>
  </si>
  <si>
    <t xml:space="preserve">Tracked weekly in status meeting</t>
  </si>
  <si>
    <t xml:space="preserve">D-02</t>
  </si>
  <si>
    <t xml:space="preserve">Microsoft Entra ID configuration and identity team support</t>
  </si>
  <si>
    <t xml:space="preserve">Identity team engaged; slot booked Week 13</t>
  </si>
  <si>
    <t xml:space="preserve">D-03</t>
  </si>
  <si>
    <t xml:space="preserve">Application-owner support for integration and business validation</t>
  </si>
  <si>
    <t xml:space="preserve">SME plan agreed at kickoff</t>
  </si>
  <si>
    <t xml:space="preserve">Non-Working Days</t>
  </si>
  <si>
    <t xml:space="preserve">Demo India holiday calendar — confirm against the client's HR calendar · all dates skip these</t>
  </si>
  <si>
    <t xml:space="preserve">#</t>
  </si>
  <si>
    <t xml:space="preserve">Date</t>
  </si>
  <si>
    <t xml:space="preserve">Diwali (demo)</t>
  </si>
  <si>
    <t xml:space="preserve">Guru Nanak Jayanti (demo)</t>
  </si>
  <si>
    <t xml:space="preserve">Christmas Day</t>
  </si>
  <si>
    <t xml:space="preserve">New Year's Day</t>
  </si>
  <si>
    <t xml:space="preserve">Republic Day</t>
  </si>
  <si>
    <t xml:space="preserve">Weekly Status Log (EVM)</t>
  </si>
  <si>
    <t xml:space="preserve">Cumulative values as reported at each week-end · blue = reported inputs · SPI = EV/PV · CPI = EV/AC</t>
  </si>
  <si>
    <t xml:space="preserve">Week</t>
  </si>
  <si>
    <t xml:space="preserve">Week Ending</t>
  </si>
  <si>
    <t xml:space="preserve">SPI</t>
  </si>
  <si>
    <t xml:space="preserve">Activities
Remaining</t>
  </si>
  <si>
    <t xml:space="preserve">Key Commentary</t>
  </si>
  <si>
    <t xml:space="preserve">GREEN</t>
  </si>
  <si>
    <t xml:space="preserve">Kickoff held; charter and stakeholder map approved; personas drafted</t>
  </si>
  <si>
    <t xml:space="preserve">28 use cases captured across SAP, Oracle, QA; NFR workshop completed</t>
  </si>
  <si>
    <t xml:space="preserve">Requirements spec baselined; API &amp; MCP tool inventory 80% complete</t>
  </si>
  <si>
    <t xml:space="preserve">Diwali week; architecture and data-source assessment in progress</t>
  </si>
  <si>
    <t xml:space="preserve">Architecture approved — M1 achieved 16-Nov; Azure dev subscription provisioned</t>
  </si>
  <si>
    <t xml:space="preserve">GPT-5 deployment validated in West Europe; curated corpus of 1,240 documents ready</t>
  </si>
  <si>
    <t xml:space="preserve">Foundry IQ indexing complete; first grounded answers with citations demonstrated</t>
  </si>
  <si>
    <t xml:space="preserve">Chat UI prototype live; baseline evaluation 81% groundedness</t>
  </si>
  <si>
    <t xml:space="preserve">M2 AI Assistant MVP achieved 14-Dec; MCP architecture and tool contracts agreed</t>
  </si>
  <si>
    <t xml:space="preserve">AMBER</t>
  </si>
  <si>
    <t xml:space="preserve">MCP auth working; SAP connector needs custom BAPI wrapper (I-03)</t>
  </si>
  <si>
    <t xml:space="preserve">Holiday week; SAP &amp; QA connectors working; Oracle sandbox access blocked (I-01)</t>
  </si>
  <si>
    <t xml:space="preserve">Oracle access escalated to sponsor; mock Oracle service used; tool routing done</t>
  </si>
  <si>
    <t xml:space="preserve">M3 slipped — Oracle integration 70%, E2E tests 50%; Entra ID work started; secrets mgmt done early</t>
  </si>
  <si>
    <t xml:space="preserve">Chart Data</t>
  </si>
  <si>
    <t xml:space="preserve">Calculated series feeding the Dashboard charts — no inputs on this sheet</t>
  </si>
  <si>
    <t xml:space="preserve">Week Start</t>
  </si>
  <si>
    <t xml:space="preserve">Week End</t>
  </si>
  <si>
    <t xml:space="preserve">PV cum (₹ L)</t>
  </si>
  <si>
    <t xml:space="preserve">Planned Remaining</t>
  </si>
  <si>
    <t xml:space="preserve">FTE: M1 Discovery</t>
  </si>
  <si>
    <t xml:space="preserve">FTE: M2 AI Foundation</t>
  </si>
  <si>
    <t xml:space="preserve">FTE: M3 Integration</t>
  </si>
  <si>
    <t xml:space="preserve">FTE: M4 Security &amp; QA</t>
  </si>
  <si>
    <t xml:space="preserve">FTE: M5 Pilot &amp; Handover</t>
  </si>
  <si>
    <t xml:space="preserve">Target (1.0)</t>
  </si>
  <si>
    <t xml:space="preserve">Week Label</t>
  </si>
  <si>
    <t xml:space="preserve">Budget (₹ L)</t>
  </si>
  <si>
    <t xml:space="preserve">Earned Value (₹ L)</t>
  </si>
  <si>
    <t xml:space="preserve">Actual Cost (₹ L)</t>
  </si>
  <si>
    <t xml:space="preserve">Start offset (days)</t>
  </si>
  <si>
    <t xml:space="preserve">Completed (days)</t>
  </si>
  <si>
    <t xml:space="preserve">Remaining (days)</t>
  </si>
  <si>
    <t xml:space="preserve">Activity Status</t>
  </si>
  <si>
    <t xml:space="preserve">Count</t>
  </si>
  <si>
    <t xml:space="preserve">Complete</t>
  </si>
  <si>
    <t xml:space="preserve">In Progress</t>
  </si>
  <si>
    <t xml:space="preserve">Behind</t>
  </si>
  <si>
    <t xml:space="preserve">Overdue</t>
  </si>
  <si>
    <t xml:space="preserve">Late Start</t>
  </si>
  <si>
    <t xml:space="preserve">Not Started</t>
  </si>
  <si>
    <t xml:space="preserve">Open Risk Rating</t>
  </si>
  <si>
    <t xml:space="preserve">High</t>
  </si>
  <si>
    <t xml:space="preserve">Medium</t>
  </si>
  <si>
    <t xml:space="preserve">Low</t>
  </si>
  <si>
    <t xml:space="preserve">RAID Type</t>
  </si>
  <si>
    <t xml:space="preserve">Helper — cumulative planned value by activity and week (₹ L)</t>
  </si>
</sst>
</file>

<file path=xl/styles.xml><?xml version="1.0" encoding="utf-8"?>
<styleSheet xmlns="http://schemas.openxmlformats.org/spreadsheetml/2006/main">
  <numFmts count="22">
    <numFmt numFmtId="164" formatCode="General"/>
    <numFmt numFmtId="165" formatCode="0%"/>
    <numFmt numFmtId="166" formatCode="0.00"/>
    <numFmt numFmtId="167" formatCode="\₹#,##0.0&quot; L&quot;"/>
    <numFmt numFmtId="168" formatCode="@"/>
    <numFmt numFmtId="169" formatCode="dd\-mmm\-yy"/>
    <numFmt numFmtId="170" formatCode="0"/>
    <numFmt numFmtId="171" formatCode="\₹#,##0.0&quot; L&quot;;&quot;-₹&quot;#,##0.0&quot; L&quot;"/>
    <numFmt numFmtId="172" formatCode="0;;&quot;&quot;"/>
    <numFmt numFmtId="173" formatCode="\+0;\-0;0"/>
    <numFmt numFmtId="174" formatCode="0.0"/>
    <numFmt numFmtId="175" formatCode="#,##0"/>
    <numFmt numFmtId="176" formatCode="0;;;"/>
    <numFmt numFmtId="177" formatCode="dd\-mmm\-yyyy"/>
    <numFmt numFmtId="178" formatCode="\₹0.00&quot; L&quot;"/>
    <numFmt numFmtId="179" formatCode="dd\-mmm"/>
    <numFmt numFmtId="180" formatCode="\+0%;\-0%;0%"/>
    <numFmt numFmtId="181" formatCode="#,##0.00"/>
    <numFmt numFmtId="182" formatCode=";;;"/>
    <numFmt numFmtId="183" formatCode="#,##0.0"/>
    <numFmt numFmtId="184" formatCode="0.0%"/>
    <numFmt numFmtId="185" formatCode="General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22"/>
      <color rgb="FF1F1F1F"/>
      <name val="Arial"/>
      <family val="0"/>
      <charset val="1"/>
    </font>
    <font>
      <sz val="8.5"/>
      <color rgb="FF7F7F7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.5"/>
      <color rgb="FF1F1F1F"/>
      <name val="Arial"/>
      <family val="0"/>
      <charset val="1"/>
    </font>
    <font>
      <b val="true"/>
      <sz val="8"/>
      <color rgb="FF1F1F1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F1F1F"/>
      <name val="Arial"/>
      <family val="0"/>
      <charset val="1"/>
    </font>
    <font>
      <b val="true"/>
      <sz val="9.5"/>
      <color rgb="FF1F1F1F"/>
      <name val="Arial"/>
      <family val="0"/>
      <charset val="1"/>
    </font>
    <font>
      <i val="true"/>
      <sz val="8"/>
      <color rgb="FF7F7F7F"/>
      <name val="Arial"/>
      <family val="0"/>
      <charset val="1"/>
    </font>
    <font>
      <b val="true"/>
      <sz val="12"/>
      <color rgb="FF333333"/>
      <name val="Arial"/>
      <family val="2"/>
    </font>
    <font>
      <sz val="9"/>
      <color rgb="FF595959"/>
      <name val="Arial"/>
      <family val="2"/>
    </font>
    <font>
      <b val="true"/>
      <sz val="8"/>
      <color rgb="FF7F7F7F"/>
      <name val="Arial"/>
      <family val="2"/>
    </font>
    <font>
      <b val="true"/>
      <sz val="8"/>
      <color rgb="FFE60000"/>
      <name val="Arial"/>
      <family val="2"/>
    </font>
    <font>
      <b val="true"/>
      <sz val="7.5"/>
      <color rgb="FF4A4D4E"/>
      <name val="Arial"/>
      <family val="2"/>
    </font>
    <font>
      <b val="true"/>
      <sz val="9"/>
      <color rgb="FFFFFFFF"/>
      <name val="Arial"/>
      <family val="2"/>
    </font>
    <font>
      <b val="true"/>
      <sz val="8"/>
      <color rgb="FF007C92"/>
      <name val="Arial"/>
      <family val="2"/>
    </font>
    <font>
      <b val="true"/>
      <sz val="8"/>
      <color rgb="FFFFFFFF"/>
      <name val="Arial"/>
      <family val="2"/>
    </font>
    <font>
      <b val="true"/>
      <sz val="10"/>
      <color rgb="FF1F1F1F"/>
      <name val="Arial"/>
      <family val="2"/>
    </font>
    <font>
      <b val="true"/>
      <sz val="16"/>
      <color rgb="FFFFFFFF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1F1F1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1F1F1F"/>
      <name val="Arial"/>
      <family val="0"/>
      <charset val="1"/>
    </font>
    <font>
      <b val="true"/>
      <sz val="10"/>
      <color rgb="FFE60000"/>
      <name val="Arial"/>
      <family val="0"/>
      <charset val="1"/>
    </font>
    <font>
      <b val="true"/>
      <sz val="1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E60000"/>
        <bgColor rgb="FFC00000"/>
      </patternFill>
    </fill>
    <fill>
      <patternFill patternType="solid">
        <fgColor rgb="FFF7F7F7"/>
        <bgColor rgb="FFFFFFFF"/>
      </patternFill>
    </fill>
    <fill>
      <patternFill patternType="solid">
        <fgColor rgb="FFFFFFFF"/>
        <bgColor rgb="FFF7F7F7"/>
      </patternFill>
    </fill>
    <fill>
      <patternFill patternType="solid">
        <fgColor rgb="FF4A4D4E"/>
        <bgColor rgb="FF595959"/>
      </patternFill>
    </fill>
    <fill>
      <patternFill patternType="solid">
        <fgColor rgb="FFA9D08E"/>
        <bgColor rgb="FFBFBFBF"/>
      </patternFill>
    </fill>
    <fill>
      <patternFill patternType="solid">
        <fgColor rgb="FFFFD966"/>
        <bgColor rgb="FFFFEB9C"/>
      </patternFill>
    </fill>
    <fill>
      <patternFill patternType="solid">
        <fgColor rgb="FFF8696B"/>
        <bgColor rgb="FFFF6600"/>
      </patternFill>
    </fill>
    <fill>
      <patternFill patternType="solid">
        <fgColor rgb="FFD9D9D9"/>
        <bgColor rgb="FFE7E6E6"/>
      </patternFill>
    </fill>
    <fill>
      <patternFill patternType="solid">
        <fgColor rgb="FFFFFF99"/>
        <bgColor rgb="FFFFEB9C"/>
      </patternFill>
    </fill>
    <fill>
      <patternFill patternType="solid">
        <fgColor rgb="FF6E7071"/>
        <bgColor rgb="FF7F7F7F"/>
      </patternFill>
    </fill>
    <fill>
      <patternFill patternType="solid">
        <fgColor rgb="FF1F1F1F"/>
        <bgColor rgb="FF333333"/>
      </patternFill>
    </fill>
    <fill>
      <patternFill patternType="solid">
        <fgColor rgb="FFFCE4E4"/>
        <bgColor rgb="FFE7E6E6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thick">
        <color rgb="FFE60000"/>
      </top>
      <bottom/>
      <diagonal/>
    </border>
    <border diagonalUp="false" diagonalDown="false">
      <left/>
      <right/>
      <top style="thick">
        <color rgb="FF007C92"/>
      </top>
      <bottom/>
      <diagonal/>
    </border>
    <border diagonalUp="false" diagonalDown="false">
      <left/>
      <right/>
      <top style="thick">
        <color rgb="FF5E2750"/>
      </top>
      <bottom/>
      <diagonal/>
    </border>
    <border diagonalUp="false" diagonalDown="false">
      <left/>
      <right/>
      <top style="thick">
        <color rgb="FF4A4D4E"/>
      </top>
      <bottom/>
      <diagonal/>
    </border>
    <border diagonalUp="false" diagonalDown="false">
      <left/>
      <right/>
      <top style="thick">
        <color rgb="FFA8B400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/>
      <right/>
      <top/>
      <bottom style="thin">
        <color rgb="FFE7E6E6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/>
      <bottom style="hair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5" fillId="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5" fillId="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5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1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1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1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6" fillId="9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6" fillId="9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9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9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7" fontId="29" fillId="1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8" fontId="29" fillId="1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9" fillId="1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29" fillId="1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3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5" fillId="9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34" fillId="5" borderId="8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3" fillId="1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3" fillId="1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1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13" fillId="1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3" fillId="1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1" fontId="13" fillId="1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2" fontId="0" fillId="0" borderId="9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9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9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9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28" fillId="9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8" fillId="9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28" fillId="9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8" fillId="9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1" fontId="28" fillId="9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0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0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9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30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0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1" fontId="30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1" fontId="29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3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1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3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13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30" fillId="1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0" fillId="1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9" fillId="1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30" fillId="1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0" fillId="1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1" fontId="30" fillId="1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3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9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0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9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9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30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3" fontId="30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8" fillId="9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3" fontId="28" fillId="9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2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4" fontId="29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9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29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33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0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5">
    <dxf>
      <font>
        <name val="Arial"/>
        <charset val="1"/>
        <family val="0"/>
        <b val="1"/>
        <color rgb="FF006100"/>
        <sz val="22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  <sz val="22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22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C00000"/>
        <sz val="22"/>
      </font>
    </dxf>
    <dxf>
      <font>
        <name val="Arial"/>
        <charset val="1"/>
        <family val="0"/>
        <b val="1"/>
        <color rgb="FF2E8B57"/>
        <sz val="22"/>
      </font>
    </dxf>
    <dxf>
      <font>
        <name val="Arial"/>
        <charset val="1"/>
        <family val="0"/>
        <b val="1"/>
        <sz val="9"/>
      </font>
      <fill>
        <patternFill>
          <bgColor rgb="FFC6EFCE"/>
        </patternFill>
      </fill>
    </dxf>
    <dxf>
      <font>
        <name val="Arial"/>
        <charset val="1"/>
        <family val="0"/>
        <b val="1"/>
        <sz val="9"/>
      </font>
      <fill>
        <patternFill>
          <bgColor rgb="FFFFC7CE"/>
        </patternFill>
      </fill>
    </dxf>
    <dxf>
      <font>
        <name val="Arial"/>
        <charset val="1"/>
        <family val="0"/>
        <b val="1"/>
        <sz val="9"/>
      </font>
      <fill>
        <patternFill>
          <bgColor rgb="FFDDEBF7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DDEBF7"/>
        </patternFill>
      </fill>
    </dxf>
    <dxf>
      <fill>
        <patternFill>
          <bgColor rgb="FFFFEB9C"/>
        </patternFill>
      </fill>
    </dxf>
    <dxf>
      <font>
        <name val="Arial"/>
        <charset val="1"/>
        <family val="0"/>
        <b val="1"/>
        <color rgb="FFC00000"/>
      </font>
    </dxf>
    <dxf>
      <fill>
        <patternFill patternType="solid">
          <fgColor rgb="FF1F1F1F"/>
          <bgColor rgb="FF000000"/>
        </patternFill>
      </fill>
    </dxf>
    <dxf>
      <fill>
        <patternFill patternType="solid">
          <fgColor rgb="FF4A4D4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6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bgColor rgb="FF1F1F1F"/>
        </patternFill>
      </fill>
    </dxf>
    <dxf>
      <fill>
        <patternFill>
          <bgColor rgb="FF4A4D4E"/>
        </patternFill>
      </fill>
    </dxf>
    <dxf>
      <fill>
        <patternFill>
          <bgColor rgb="FF70AD47"/>
        </patternFill>
      </fill>
    </dxf>
    <dxf>
      <fill>
        <patternFill>
          <bgColor rgb="FFE60000"/>
        </patternFill>
      </fill>
    </dxf>
    <dxf>
      <fill>
        <patternFill>
          <bgColor rgb="FFFFF2CC"/>
        </patternFill>
      </fill>
    </dxf>
    <dxf>
      <fill>
        <patternFill>
          <bgColor rgb="FFF4B183"/>
        </patternFill>
      </fill>
    </dxf>
    <dxf>
      <fill>
        <patternFill>
          <bgColor rgb="FFF8CBAD"/>
        </patternFill>
      </fill>
    </dxf>
    <dxf>
      <fill>
        <patternFill>
          <bgColor rgb="FFFCE4E4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E60000"/>
      <rgbColor rgb="FF00FF00"/>
      <rgbColor rgb="FF0000FF"/>
      <rgbColor rgb="FFFFD966"/>
      <rgbColor rgb="FFFF00FF"/>
      <rgbColor rgb="FF00FFFF"/>
      <rgbColor rgb="FF9C0006"/>
      <rgbColor rgb="FF008000"/>
      <rgbColor rgb="FF000080"/>
      <rgbColor rgb="FF70AD47"/>
      <rgbColor rgb="FF800080"/>
      <rgbColor rgb="FF007C92"/>
      <rgbColor rgb="FFBFBFBF"/>
      <rgbColor rgb="FF7F7F7F"/>
      <rgbColor rgb="FFA6A6A6"/>
      <rgbColor rgb="FF595959"/>
      <rgbColor rgb="FFFFF2CC"/>
      <rgbColor rgb="FFDDEBF7"/>
      <rgbColor rgb="FF5E2750"/>
      <rgbColor rgb="FFF8696B"/>
      <rgbColor rgb="FF0066CC"/>
      <rgbColor rgb="FFD9D9D9"/>
      <rgbColor rgb="FF000080"/>
      <rgbColor rgb="FFFF00FF"/>
      <rgbColor rgb="FFFFEB9C"/>
      <rgbColor rgb="FF00FFFF"/>
      <rgbColor rgb="FF800080"/>
      <rgbColor rgb="FFC00000"/>
      <rgbColor rgb="FF008080"/>
      <rgbColor rgb="FF0000FF"/>
      <rgbColor rgb="FF00CCFF"/>
      <rgbColor rgb="FFF7F7F7"/>
      <rgbColor rgb="FFC6EFCE"/>
      <rgbColor rgb="FFFFFF99"/>
      <rgbColor rgb="FFA9D08E"/>
      <rgbColor rgb="FFF4B183"/>
      <rgbColor rgb="FFFFC7CE"/>
      <rgbColor rgb="FFF8CBAD"/>
      <rgbColor rgb="FF4F81BD"/>
      <rgbColor rgb="FFE7E6E6"/>
      <rgbColor rgb="FFA8B400"/>
      <rgbColor rgb="FFFECB00"/>
      <rgbColor rgb="FFFCE4E4"/>
      <rgbColor rgb="FFFF6600"/>
      <rgbColor rgb="FF6E7071"/>
      <rgbColor rgb="FF878787"/>
      <rgbColor rgb="FF003366"/>
      <rgbColor rgb="FF2E8B57"/>
      <rgbColor rgb="FF006100"/>
      <rgbColor rgb="FF1F1F1F"/>
      <rgbColor rgb="FF9C5700"/>
      <rgbColor rgb="FF993366"/>
      <rgbColor rgb="FF4A4D4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333333"/>
                </a:solidFill>
                <a:latin typeface="Arial"/>
              </a:defRPr>
            </a:pPr>
            <a:r>
              <a:rPr b="1" sz="1200" spc="-1" strike="noStrike">
                <a:solidFill>
                  <a:srgbClr val="333333"/>
                </a:solidFill>
                <a:latin typeface="Arial"/>
              </a:rPr>
              <a:t>Earned Value S-Curve (cumulative ₹ 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'Chart Data'!D4</c:f>
              <c:strCache>
                <c:ptCount val="1"/>
                <c:pt idx="0">
                  <c:v>PV cum (₹ L)</c:v>
                </c:pt>
              </c:strCache>
            </c:strRef>
          </c:tx>
          <c:spPr>
            <a:solidFill>
              <a:srgbClr val="a6a6a6"/>
            </a:solidFill>
            <a:ln w="2844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Data'!$L$5:$L$25</c:f>
              <c:strCache>
                <c:ptCount val="21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</c:strCache>
            </c:strRef>
          </c:cat>
          <c:val>
            <c:numRef>
              <c:f>'Chart Data'!$D$5:$D$25</c:f>
              <c:numCache>
                <c:formatCode>0.0</c:formatCode>
                <c:ptCount val="21"/>
                <c:pt idx="0">
                  <c:v>6.08</c:v>
                </c:pt>
                <c:pt idx="1">
                  <c:v>12.48</c:v>
                </c:pt>
                <c:pt idx="2">
                  <c:v>16.96</c:v>
                </c:pt>
                <c:pt idx="3">
                  <c:v>16.96</c:v>
                </c:pt>
                <c:pt idx="4">
                  <c:v>21.76</c:v>
                </c:pt>
                <c:pt idx="5">
                  <c:v>25.92</c:v>
                </c:pt>
                <c:pt idx="6">
                  <c:v>30.4</c:v>
                </c:pt>
                <c:pt idx="7">
                  <c:v>33.6</c:v>
                </c:pt>
                <c:pt idx="8">
                  <c:v>36.16</c:v>
                </c:pt>
                <c:pt idx="9">
                  <c:v>38.72</c:v>
                </c:pt>
                <c:pt idx="10">
                  <c:v>51.52</c:v>
                </c:pt>
                <c:pt idx="11">
                  <c:v>56.64</c:v>
                </c:pt>
                <c:pt idx="12">
                  <c:v>59.84</c:v>
                </c:pt>
                <c:pt idx="13">
                  <c:v>69.44</c:v>
                </c:pt>
                <c:pt idx="14">
                  <c:v>74.56</c:v>
                </c:pt>
                <c:pt idx="15">
                  <c:v>79.04</c:v>
                </c:pt>
                <c:pt idx="16">
                  <c:v>81.6</c:v>
                </c:pt>
                <c:pt idx="17">
                  <c:v>91.52</c:v>
                </c:pt>
                <c:pt idx="18">
                  <c:v>96.64</c:v>
                </c:pt>
                <c:pt idx="19">
                  <c:v>101.12</c:v>
                </c:pt>
                <c:pt idx="20">
                  <c:v>105.6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'Weekly Status Log'!D4</c:f>
              <c:strCache>
                <c:ptCount val="1"/>
                <c:pt idx="0">
                  <c:v>Earned Value
(EV ₹ L)</c:v>
                </c:pt>
              </c:strCache>
            </c:strRef>
          </c:tx>
          <c:spPr>
            <a:solidFill>
              <a:srgbClr val="e60000"/>
            </a:solidFill>
            <a:ln w="28440">
              <a:solidFill>
                <a:srgbClr val="e60000"/>
              </a:solidFill>
              <a:round/>
            </a:ln>
          </c:spPr>
          <c:marker>
            <c:symbol val="circle"/>
            <c:size val="5"/>
            <c:spPr>
              <a:solidFill>
                <a:srgbClr val="e6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Data'!$L$5:$L$25</c:f>
              <c:strCache>
                <c:ptCount val="21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</c:strCache>
            </c:strRef>
          </c:cat>
          <c:val>
            <c:numRef>
              <c:f>'Weekly Status Log'!$D$5:$D$25</c:f>
              <c:numCache>
                <c:formatCode>0.0</c:formatCode>
                <c:ptCount val="21"/>
                <c:pt idx="0">
                  <c:v>6.1</c:v>
                </c:pt>
                <c:pt idx="1">
                  <c:v>12.1</c:v>
                </c:pt>
                <c:pt idx="2">
                  <c:v>16.8</c:v>
                </c:pt>
                <c:pt idx="3">
                  <c:v>17</c:v>
                </c:pt>
                <c:pt idx="4">
                  <c:v>22</c:v>
                </c:pt>
                <c:pt idx="5">
                  <c:v>25.9</c:v>
                </c:pt>
                <c:pt idx="6">
                  <c:v>30.4</c:v>
                </c:pt>
                <c:pt idx="7">
                  <c:v>33.9</c:v>
                </c:pt>
                <c:pt idx="8">
                  <c:v>35.8</c:v>
                </c:pt>
                <c:pt idx="9">
                  <c:v>37.9</c:v>
                </c:pt>
                <c:pt idx="10">
                  <c:v>48.9</c:v>
                </c:pt>
                <c:pt idx="11">
                  <c:v>52.6</c:v>
                </c:pt>
                <c:pt idx="12">
                  <c:v>56.4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'Weekly Status Log'!E4</c:f>
              <c:strCache>
                <c:ptCount val="1"/>
                <c:pt idx="0">
                  <c:v>Actual Cost
(AC ₹ L)</c:v>
                </c:pt>
              </c:strCache>
            </c:strRef>
          </c:tx>
          <c:spPr>
            <a:solidFill>
              <a:srgbClr val="5e2750"/>
            </a:solidFill>
            <a:ln w="28440">
              <a:solidFill>
                <a:srgbClr val="5e2750"/>
              </a:solidFill>
              <a:round/>
            </a:ln>
          </c:spPr>
          <c:marker>
            <c:symbol val="circle"/>
            <c:size val="5"/>
            <c:spPr>
              <a:solidFill>
                <a:srgbClr val="5e275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Data'!$L$5:$L$25</c:f>
              <c:strCache>
                <c:ptCount val="21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</c:strCache>
            </c:strRef>
          </c:cat>
          <c:val>
            <c:numRef>
              <c:f>'Weekly Status Log'!$E$5:$E$25</c:f>
              <c:numCache>
                <c:formatCode>0.0</c:formatCode>
                <c:ptCount val="21"/>
                <c:pt idx="0">
                  <c:v>6.1</c:v>
                </c:pt>
                <c:pt idx="1">
                  <c:v>12.1</c:v>
                </c:pt>
                <c:pt idx="2">
                  <c:v>16.7</c:v>
                </c:pt>
                <c:pt idx="3">
                  <c:v>16.7</c:v>
                </c:pt>
                <c:pt idx="4">
                  <c:v>21.8</c:v>
                </c:pt>
                <c:pt idx="5">
                  <c:v>25.9</c:v>
                </c:pt>
                <c:pt idx="6">
                  <c:v>30.7</c:v>
                </c:pt>
                <c:pt idx="7">
                  <c:v>34.6</c:v>
                </c:pt>
                <c:pt idx="8">
                  <c:v>36.9</c:v>
                </c:pt>
                <c:pt idx="9">
                  <c:v>39.4</c:v>
                </c:pt>
                <c:pt idx="10">
                  <c:v>52.3</c:v>
                </c:pt>
                <c:pt idx="11">
                  <c:v>57.4</c:v>
                </c:pt>
                <c:pt idx="12">
                  <c:v>58.6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49732242"/>
        <c:axId val="41409227"/>
      </c:lineChart>
      <c:catAx>
        <c:axId val="497322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41409227"/>
        <c:crosses val="autoZero"/>
        <c:auto val="1"/>
        <c:lblAlgn val="ctr"/>
        <c:lblOffset val="100"/>
        <c:noMultiLvlLbl val="0"/>
      </c:catAx>
      <c:valAx>
        <c:axId val="41409227"/>
        <c:scaling>
          <c:orientation val="minMax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4973224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333333"/>
                </a:solidFill>
                <a:latin typeface="Arial"/>
              </a:defRPr>
            </a:pPr>
            <a:r>
              <a:rPr b="1" sz="1200" spc="-1" strike="noStrike">
                <a:solidFill>
                  <a:srgbClr val="333333"/>
                </a:solidFill>
                <a:latin typeface="Arial"/>
              </a:rPr>
              <a:t>Weekly SPI &amp; CPI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'Weekly Status Log'!F4</c:f>
              <c:strCache>
                <c:ptCount val="1"/>
                <c:pt idx="0">
                  <c:v>SPI</c:v>
                </c:pt>
              </c:strCache>
            </c:strRef>
          </c:tx>
          <c:spPr>
            <a:solidFill>
              <a:srgbClr val="007c92"/>
            </a:solidFill>
            <a:ln w="0">
              <a:solidFill>
                <a:srgbClr val="007c92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Data'!$L$5:$L$25</c:f>
              <c:strCache>
                <c:ptCount val="21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</c:strCache>
            </c:strRef>
          </c:cat>
          <c:val>
            <c:numRef>
              <c:f>'Weekly Status Log'!$F$5:$F$25</c:f>
              <c:numCache>
                <c:formatCode>0.00</c:formatCode>
                <c:ptCount val="21"/>
                <c:pt idx="0">
                  <c:v>1.00328947368421</c:v>
                </c:pt>
                <c:pt idx="1">
                  <c:v>0.969551282051282</c:v>
                </c:pt>
                <c:pt idx="2">
                  <c:v>0.990566037735849</c:v>
                </c:pt>
                <c:pt idx="3">
                  <c:v>1.00235849056604</c:v>
                </c:pt>
                <c:pt idx="4">
                  <c:v>1.01102941176471</c:v>
                </c:pt>
                <c:pt idx="5">
                  <c:v>0.999228395061728</c:v>
                </c:pt>
                <c:pt idx="6">
                  <c:v>1</c:v>
                </c:pt>
                <c:pt idx="7">
                  <c:v>1.00892857142857</c:v>
                </c:pt>
                <c:pt idx="8">
                  <c:v>0.990044247787611</c:v>
                </c:pt>
                <c:pt idx="9">
                  <c:v>0.978822314049587</c:v>
                </c:pt>
                <c:pt idx="10">
                  <c:v>0.949145962732919</c:v>
                </c:pt>
                <c:pt idx="11">
                  <c:v>0.928672316384181</c:v>
                </c:pt>
                <c:pt idx="12">
                  <c:v>0.942513368983957</c:v>
                </c:pt>
              </c:numCache>
            </c:numRef>
          </c:val>
        </c:ser>
        <c:ser>
          <c:idx val="1"/>
          <c:order val="1"/>
          <c:tx>
            <c:strRef>
              <c:f>'Weekly Status Log'!G4</c:f>
              <c:strCache>
                <c:ptCount val="1"/>
                <c:pt idx="0">
                  <c:v>CPI</c:v>
                </c:pt>
              </c:strCache>
            </c:strRef>
          </c:tx>
          <c:spPr>
            <a:solidFill>
              <a:srgbClr val="5e2750"/>
            </a:solidFill>
            <a:ln w="0">
              <a:solidFill>
                <a:srgbClr val="5e275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Data'!$L$5:$L$25</c:f>
              <c:strCache>
                <c:ptCount val="21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</c:strCache>
            </c:strRef>
          </c:cat>
          <c:val>
            <c:numRef>
              <c:f>'Weekly Status Log'!$G$5:$G$25</c:f>
              <c:numCache>
                <c:formatCode>0.00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1.0059880239521</c:v>
                </c:pt>
                <c:pt idx="3">
                  <c:v>1.01796407185629</c:v>
                </c:pt>
                <c:pt idx="4">
                  <c:v>1.00917431192661</c:v>
                </c:pt>
                <c:pt idx="5">
                  <c:v>1</c:v>
                </c:pt>
                <c:pt idx="6">
                  <c:v>0.990228013029316</c:v>
                </c:pt>
                <c:pt idx="7">
                  <c:v>0.979768786127168</c:v>
                </c:pt>
                <c:pt idx="8">
                  <c:v>0.970189701897019</c:v>
                </c:pt>
                <c:pt idx="9">
                  <c:v>0.961928934010152</c:v>
                </c:pt>
                <c:pt idx="10">
                  <c:v>0.934990439770555</c:v>
                </c:pt>
                <c:pt idx="11">
                  <c:v>0.916376306620209</c:v>
                </c:pt>
                <c:pt idx="12">
                  <c:v>0.962457337883959</c:v>
                </c:pt>
              </c:numCache>
            </c:numRef>
          </c:val>
        </c:ser>
        <c:gapWidth val="60"/>
        <c:overlap val="-10"/>
        <c:axId val="8380262"/>
        <c:axId val="43935158"/>
      </c:barChart>
      <c:lineChart>
        <c:grouping val="standard"/>
        <c:varyColors val="0"/>
        <c:ser>
          <c:idx val="2"/>
          <c:order val="2"/>
          <c:tx>
            <c:strRef>
              <c:f>'Chart Data'!K4</c:f>
              <c:strCache>
                <c:ptCount val="1"/>
                <c:pt idx="0">
                  <c:v>Target (1.0)</c:v>
                </c:pt>
              </c:strCache>
            </c:strRef>
          </c:tx>
          <c:spPr>
            <a:solidFill>
              <a:srgbClr val="e60000"/>
            </a:solidFill>
            <a:ln w="22320">
              <a:solidFill>
                <a:srgbClr val="e6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Data'!$L$5:$L$25</c:f>
              <c:strCache>
                <c:ptCount val="21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</c:strCache>
            </c:strRef>
          </c:cat>
          <c:val>
            <c:numRef>
              <c:f>'Chart Data'!$K$5:$K$25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380262"/>
        <c:axId val="43935158"/>
      </c:lineChart>
      <c:catAx>
        <c:axId val="83802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43935158"/>
        <c:crosses val="autoZero"/>
        <c:auto val="1"/>
        <c:lblAlgn val="ctr"/>
        <c:lblOffset val="100"/>
        <c:noMultiLvlLbl val="0"/>
      </c:catAx>
      <c:valAx>
        <c:axId val="43935158"/>
        <c:scaling>
          <c:orientation val="minMax"/>
          <c:max val="1.1"/>
          <c:min val="0.7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8380262"/>
        <c:crosses val="autoZero"/>
        <c:crossBetween val="between"/>
        <c:majorUnit val="0.1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333333"/>
                </a:solidFill>
                <a:latin typeface="Arial"/>
              </a:defRPr>
            </a:pPr>
            <a:r>
              <a:rPr b="1" sz="1200" spc="-1" strike="noStrike">
                <a:solidFill>
                  <a:srgbClr val="333333"/>
                </a:solidFill>
                <a:latin typeface="Arial"/>
              </a:rPr>
              <a:t>Phase Timeline — Completed vs Remaining (calendar 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'Chart Data'!G28</c:f>
              <c:strCache>
                <c:ptCount val="1"/>
                <c:pt idx="0">
                  <c:v>Start offset (days)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Data'!$A$29:$A$33</c:f>
              <c:strCache>
                <c:ptCount val="5"/>
                <c:pt idx="0">
                  <c:v>M1 Discovery</c:v>
                </c:pt>
                <c:pt idx="1">
                  <c:v>M2 AI Foundation</c:v>
                </c:pt>
                <c:pt idx="2">
                  <c:v>M3 Integration</c:v>
                </c:pt>
                <c:pt idx="3">
                  <c:v>M4 Security &amp; QA</c:v>
                </c:pt>
                <c:pt idx="4">
                  <c:v>M5 Pilot &amp; Handover</c:v>
                </c:pt>
              </c:strCache>
            </c:strRef>
          </c:cat>
          <c:val>
            <c:numRef>
              <c:f>'Chart Data'!$G$29:$G$33</c:f>
              <c:numCache>
                <c:formatCode>0</c:formatCode>
                <c:ptCount val="5"/>
                <c:pt idx="0">
                  <c:v>0</c:v>
                </c:pt>
                <c:pt idx="1">
                  <c:v>29</c:v>
                </c:pt>
                <c:pt idx="2">
                  <c:v>58</c:v>
                </c:pt>
                <c:pt idx="3">
                  <c:v>88</c:v>
                </c:pt>
                <c:pt idx="4">
                  <c:v>119</c:v>
                </c:pt>
              </c:numCache>
            </c:numRef>
          </c:val>
        </c:ser>
        <c:ser>
          <c:idx val="1"/>
          <c:order val="1"/>
          <c:tx>
            <c:strRef>
              <c:f>'Chart Data'!H28</c:f>
              <c:strCache>
                <c:ptCount val="1"/>
                <c:pt idx="0">
                  <c:v>Completed (days)</c:v>
                </c:pt>
              </c:strCache>
            </c:strRef>
          </c:tx>
          <c:spPr>
            <a:solidFill>
              <a:srgbClr val="e60000"/>
            </a:solidFill>
            <a:ln w="0">
              <a:solidFill>
                <a:srgbClr val="e6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Data'!$A$29:$A$33</c:f>
              <c:strCache>
                <c:ptCount val="5"/>
                <c:pt idx="0">
                  <c:v>M1 Discovery</c:v>
                </c:pt>
                <c:pt idx="1">
                  <c:v>M2 AI Foundation</c:v>
                </c:pt>
                <c:pt idx="2">
                  <c:v>M3 Integration</c:v>
                </c:pt>
                <c:pt idx="3">
                  <c:v>M4 Security &amp; QA</c:v>
                </c:pt>
                <c:pt idx="4">
                  <c:v>M5 Pilot &amp; Handover</c:v>
                </c:pt>
              </c:strCache>
            </c:strRef>
          </c:cat>
          <c:val>
            <c:numRef>
              <c:f>'Chart Data'!$H$29:$H$33</c:f>
              <c:numCache>
                <c:formatCode>0</c:formatCode>
                <c:ptCount val="5"/>
                <c:pt idx="0">
                  <c:v>29</c:v>
                </c:pt>
                <c:pt idx="1">
                  <c:v>29</c:v>
                </c:pt>
                <c:pt idx="2">
                  <c:v>25.3378378378378</c:v>
                </c:pt>
                <c:pt idx="3">
                  <c:v>2.66486486486487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'Chart Data'!I28</c:f>
              <c:strCache>
                <c:ptCount val="1"/>
                <c:pt idx="0">
                  <c:v>Remaining (days)</c:v>
                </c:pt>
              </c:strCache>
            </c:strRef>
          </c:tx>
          <c:spPr>
            <a:solidFill>
              <a:srgbClr val="bfbfbf"/>
            </a:solidFill>
            <a:ln w="0">
              <a:solidFill>
                <a:srgbClr val="bfbfb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Data'!$A$29:$A$33</c:f>
              <c:strCache>
                <c:ptCount val="5"/>
                <c:pt idx="0">
                  <c:v>M1 Discovery</c:v>
                </c:pt>
                <c:pt idx="1">
                  <c:v>M2 AI Foundation</c:v>
                </c:pt>
                <c:pt idx="2">
                  <c:v>M3 Integration</c:v>
                </c:pt>
                <c:pt idx="3">
                  <c:v>M4 Security &amp; QA</c:v>
                </c:pt>
                <c:pt idx="4">
                  <c:v>M5 Pilot &amp; Handover</c:v>
                </c:pt>
              </c:strCache>
            </c:strRef>
          </c:cat>
          <c:val>
            <c:numRef>
              <c:f>'Chart Data'!$I$29:$I$33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4.66216216216216</c:v>
                </c:pt>
                <c:pt idx="3">
                  <c:v>26.3351351351351</c:v>
                </c:pt>
                <c:pt idx="4">
                  <c:v>26</c:v>
                </c:pt>
              </c:numCache>
            </c:numRef>
          </c:val>
        </c:ser>
        <c:gapWidth val="45"/>
        <c:overlap val="100"/>
        <c:axId val="48962220"/>
        <c:axId val="62589028"/>
      </c:barChart>
      <c:catAx>
        <c:axId val="4896222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62589028"/>
        <c:crosses val="autoZero"/>
        <c:auto val="1"/>
        <c:lblAlgn val="ctr"/>
        <c:lblOffset val="100"/>
        <c:noMultiLvlLbl val="0"/>
      </c:catAx>
      <c:valAx>
        <c:axId val="6258902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48962220"/>
        <c:crosses val="autoZero"/>
        <c:crossBetween val="between"/>
        <c:majorUnit val="14"/>
      </c:valAx>
      <c:spPr>
        <a:noFill/>
        <a:ln w="0">
          <a:noFill/>
        </a:ln>
      </c:spPr>
    </c:plotArea>
    <c:legend>
      <c:legendPos val="b"/>
      <c:legendEntry>
        <c:idx val="0"/>
        <c:delete val="1"/>
      </c:legendEntry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333333"/>
                </a:solidFill>
                <a:latin typeface="Arial"/>
              </a:defRPr>
            </a:pPr>
            <a:r>
              <a:rPr b="1" sz="1200" spc="-1" strike="noStrike">
                <a:solidFill>
                  <a:srgbClr val="333333"/>
                </a:solidFill>
                <a:latin typeface="Arial"/>
              </a:rPr>
              <a:t>Planned vs Actual % Complete by Phase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 Data'!B28</c:f>
              <c:strCache>
                <c:ptCount val="1"/>
                <c:pt idx="0">
                  <c:v>Planned %</c:v>
                </c:pt>
              </c:strCache>
            </c:strRef>
          </c:tx>
          <c:spPr>
            <a:solidFill>
              <a:srgbClr val="bfbfbf"/>
            </a:solidFill>
            <a:ln w="0">
              <a:solidFill>
                <a:srgbClr val="bfbfbf"/>
              </a:solidFill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1" sz="800" spc="-1" strike="noStrike">
                    <a:solidFill>
                      <a:srgbClr val="7f7f7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Data'!$A$29:$A$33</c:f>
              <c:strCache>
                <c:ptCount val="5"/>
                <c:pt idx="0">
                  <c:v>M1 Discovery</c:v>
                </c:pt>
                <c:pt idx="1">
                  <c:v>M2 AI Foundation</c:v>
                </c:pt>
                <c:pt idx="2">
                  <c:v>M3 Integration</c:v>
                </c:pt>
                <c:pt idx="3">
                  <c:v>M4 Security &amp; QA</c:v>
                </c:pt>
                <c:pt idx="4">
                  <c:v>M5 Pilot &amp; Handover</c:v>
                </c:pt>
              </c:strCache>
            </c:strRef>
          </c:cat>
          <c:val>
            <c:numRef>
              <c:f>'Chart Data'!$B$29:$B$33</c:f>
              <c:numCache>
                <c:formatCode>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0.0810810810810811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Data'!C28</c:f>
              <c:strCache>
                <c:ptCount val="1"/>
                <c:pt idx="0">
                  <c:v>Actual %</c:v>
                </c:pt>
              </c:strCache>
            </c:strRef>
          </c:tx>
          <c:spPr>
            <a:solidFill>
              <a:srgbClr val="e60000"/>
            </a:solidFill>
            <a:ln w="0">
              <a:solidFill>
                <a:srgbClr val="e60000"/>
              </a:solidFill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1" sz="800" spc="-1" strike="noStrike">
                    <a:solidFill>
                      <a:srgbClr val="e6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Data'!$A$29:$A$33</c:f>
              <c:strCache>
                <c:ptCount val="5"/>
                <c:pt idx="0">
                  <c:v>M1 Discovery</c:v>
                </c:pt>
                <c:pt idx="1">
                  <c:v>M2 AI Foundation</c:v>
                </c:pt>
                <c:pt idx="2">
                  <c:v>M3 Integration</c:v>
                </c:pt>
                <c:pt idx="3">
                  <c:v>M4 Security &amp; QA</c:v>
                </c:pt>
                <c:pt idx="4">
                  <c:v>M5 Pilot &amp; Handover</c:v>
                </c:pt>
              </c:strCache>
            </c:strRef>
          </c:cat>
          <c:val>
            <c:numRef>
              <c:f>'Chart Data'!$C$29:$C$33</c:f>
              <c:numCache>
                <c:formatCode>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0.844594594594595</c:v>
                </c:pt>
                <c:pt idx="3">
                  <c:v>0.0918918918918919</c:v>
                </c:pt>
                <c:pt idx="4">
                  <c:v>0</c:v>
                </c:pt>
              </c:numCache>
            </c:numRef>
          </c:val>
        </c:ser>
        <c:gapWidth val="70"/>
        <c:overlap val="-5"/>
        <c:axId val="25409846"/>
        <c:axId val="43114386"/>
      </c:barChart>
      <c:catAx>
        <c:axId val="254098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43114386"/>
        <c:crosses val="autoZero"/>
        <c:auto val="1"/>
        <c:lblAlgn val="ctr"/>
        <c:lblOffset val="100"/>
        <c:noMultiLvlLbl val="0"/>
      </c:catAx>
      <c:valAx>
        <c:axId val="43114386"/>
        <c:scaling>
          <c:orientation val="minMax"/>
          <c:max val="1.15"/>
          <c:min val="0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25409846"/>
        <c:crosses val="autoZero"/>
        <c:crossBetween val="between"/>
        <c:majorUnit val="0.25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333333"/>
                </a:solidFill>
                <a:latin typeface="Arial"/>
              </a:defRPr>
            </a:pPr>
            <a:r>
              <a:rPr b="1" sz="1200" spc="-1" strike="noStrike">
                <a:solidFill>
                  <a:srgbClr val="333333"/>
                </a:solidFill>
                <a:latin typeface="Arial"/>
              </a:rPr>
              <a:t>Budget, Earned Value &amp; Actual Cost by Phase (₹ 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 Data'!D28</c:f>
              <c:strCache>
                <c:ptCount val="1"/>
                <c:pt idx="0">
                  <c:v>Budget (₹ L)</c:v>
                </c:pt>
              </c:strCache>
            </c:strRef>
          </c:tx>
          <c:spPr>
            <a:solidFill>
              <a:srgbClr val="4a4d4e"/>
            </a:solidFill>
            <a:ln w="0">
              <a:solidFill>
                <a:srgbClr val="4a4d4e"/>
              </a:solidFill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1" sz="750" spc="-1" strike="noStrike">
                    <a:solidFill>
                      <a:srgbClr val="4a4d4e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Data'!$A$29:$A$33</c:f>
              <c:strCache>
                <c:ptCount val="5"/>
                <c:pt idx="0">
                  <c:v>M1 Discovery</c:v>
                </c:pt>
                <c:pt idx="1">
                  <c:v>M2 AI Foundation</c:v>
                </c:pt>
                <c:pt idx="2">
                  <c:v>M3 Integration</c:v>
                </c:pt>
                <c:pt idx="3">
                  <c:v>M4 Security &amp; QA</c:v>
                </c:pt>
                <c:pt idx="4">
                  <c:v>M5 Pilot &amp; Handover</c:v>
                </c:pt>
              </c:strCache>
            </c:strRef>
          </c:cat>
          <c:val>
            <c:numRef>
              <c:f>'Chart Data'!$D$29:$D$33</c:f>
              <c:numCache>
                <c:formatCode>0.0</c:formatCode>
                <c:ptCount val="5"/>
                <c:pt idx="0">
                  <c:v>16.96</c:v>
                </c:pt>
                <c:pt idx="1">
                  <c:v>17.28</c:v>
                </c:pt>
                <c:pt idx="2">
                  <c:v>23.68</c:v>
                </c:pt>
                <c:pt idx="3">
                  <c:v>23.68</c:v>
                </c:pt>
                <c:pt idx="4">
                  <c:v>24</c:v>
                </c:pt>
              </c:numCache>
            </c:numRef>
          </c:val>
        </c:ser>
        <c:ser>
          <c:idx val="1"/>
          <c:order val="1"/>
          <c:tx>
            <c:strRef>
              <c:f>'Chart Data'!E28</c:f>
              <c:strCache>
                <c:ptCount val="1"/>
                <c:pt idx="0">
                  <c:v>Earned Value (₹ L)</c:v>
                </c:pt>
              </c:strCache>
            </c:strRef>
          </c:tx>
          <c:spPr>
            <a:solidFill>
              <a:srgbClr val="e60000"/>
            </a:solidFill>
            <a:ln w="0">
              <a:solidFill>
                <a:srgbClr val="e6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Data'!$A$29:$A$33</c:f>
              <c:strCache>
                <c:ptCount val="5"/>
                <c:pt idx="0">
                  <c:v>M1 Discovery</c:v>
                </c:pt>
                <c:pt idx="1">
                  <c:v>M2 AI Foundation</c:v>
                </c:pt>
                <c:pt idx="2">
                  <c:v>M3 Integration</c:v>
                </c:pt>
                <c:pt idx="3">
                  <c:v>M4 Security &amp; QA</c:v>
                </c:pt>
                <c:pt idx="4">
                  <c:v>M5 Pilot &amp; Handover</c:v>
                </c:pt>
              </c:strCache>
            </c:strRef>
          </c:cat>
          <c:val>
            <c:numRef>
              <c:f>'Chart Data'!$E$29:$E$33</c:f>
              <c:numCache>
                <c:formatCode>0.0</c:formatCode>
                <c:ptCount val="5"/>
                <c:pt idx="0">
                  <c:v>16.96</c:v>
                </c:pt>
                <c:pt idx="1">
                  <c:v>17.28</c:v>
                </c:pt>
                <c:pt idx="2">
                  <c:v>20</c:v>
                </c:pt>
                <c:pt idx="3">
                  <c:v>2.176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'Chart Data'!F28</c:f>
              <c:strCache>
                <c:ptCount val="1"/>
                <c:pt idx="0">
                  <c:v>Actual Cost (₹ L)</c:v>
                </c:pt>
              </c:strCache>
            </c:strRef>
          </c:tx>
          <c:spPr>
            <a:solidFill>
              <a:srgbClr val="fecb00"/>
            </a:solidFill>
            <a:ln w="0">
              <a:solidFill>
                <a:srgbClr val="fecb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Data'!$A$29:$A$33</c:f>
              <c:strCache>
                <c:ptCount val="5"/>
                <c:pt idx="0">
                  <c:v>M1 Discovery</c:v>
                </c:pt>
                <c:pt idx="1">
                  <c:v>M2 AI Foundation</c:v>
                </c:pt>
                <c:pt idx="2">
                  <c:v>M3 Integration</c:v>
                </c:pt>
                <c:pt idx="3">
                  <c:v>M4 Security &amp; QA</c:v>
                </c:pt>
                <c:pt idx="4">
                  <c:v>M5 Pilot &amp; Handover</c:v>
                </c:pt>
              </c:strCache>
            </c:strRef>
          </c:cat>
          <c:val>
            <c:numRef>
              <c:f>'Chart Data'!$F$29:$F$33</c:f>
              <c:numCache>
                <c:formatCode>0.0</c:formatCode>
                <c:ptCount val="5"/>
                <c:pt idx="0">
                  <c:v>16.26</c:v>
                </c:pt>
                <c:pt idx="1">
                  <c:v>17.9</c:v>
                </c:pt>
                <c:pt idx="2">
                  <c:v>22.28</c:v>
                </c:pt>
                <c:pt idx="3">
                  <c:v>2.18</c:v>
                </c:pt>
                <c:pt idx="4">
                  <c:v>0</c:v>
                </c:pt>
              </c:numCache>
            </c:numRef>
          </c:val>
        </c:ser>
        <c:gapWidth val="60"/>
        <c:overlap val="-5"/>
        <c:axId val="1057486"/>
        <c:axId val="38033805"/>
      </c:barChart>
      <c:catAx>
        <c:axId val="10574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38033805"/>
        <c:crosses val="autoZero"/>
        <c:auto val="1"/>
        <c:lblAlgn val="ctr"/>
        <c:lblOffset val="100"/>
        <c:noMultiLvlLbl val="0"/>
      </c:catAx>
      <c:valAx>
        <c:axId val="38033805"/>
        <c:scaling>
          <c:orientation val="minMax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105748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333333"/>
                </a:solidFill>
                <a:latin typeface="Arial"/>
              </a:defRPr>
            </a:pPr>
            <a:r>
              <a:rPr b="1" sz="1200" spc="-1" strike="noStrike">
                <a:solidFill>
                  <a:srgbClr val="333333"/>
                </a:solidFill>
                <a:latin typeface="Arial"/>
              </a:rPr>
              <a:t>Activity Status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'Chart Data'!B36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70ad47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007c92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fecb00"/>
              </a:solidFill>
              <a:ln w="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e60000"/>
              </a:solidFill>
              <a:ln w="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f4b183"/>
              </a:solidFill>
              <a:ln w="0">
                <a:solidFill>
                  <a:srgbClr val="ffffff"/>
                </a:solidFill>
              </a:ln>
            </c:spPr>
          </c:dPt>
          <c:dPt>
            <c:idx val="5"/>
            <c:spPr>
              <a:solidFill>
                <a:srgbClr val="d9d9d9"/>
              </a:solidFill>
              <a:ln w="0">
                <a:solidFill>
                  <a:srgbClr val="ffffff"/>
                </a:solidFill>
              </a:ln>
            </c:spPr>
          </c:dPt>
          <c:dLbls>
            <c:numFmt formatCode="0" sourceLinked="1"/>
            <c:dLbl>
              <c:idx val="0"/>
              <c:numFmt formatCode="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numFmt formatCode="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'Chart Data'!$A$37:$A$42</c:f>
              <c:strCache>
                <c:ptCount val="6"/>
                <c:pt idx="0">
                  <c:v>Complete</c:v>
                </c:pt>
                <c:pt idx="1">
                  <c:v>In Progress</c:v>
                </c:pt>
                <c:pt idx="2">
                  <c:v>Behind</c:v>
                </c:pt>
                <c:pt idx="3">
                  <c:v>Overdue</c:v>
                </c:pt>
                <c:pt idx="4">
                  <c:v>Late Start</c:v>
                </c:pt>
                <c:pt idx="5">
                  <c:v>Not Started</c:v>
                </c:pt>
              </c:strCache>
            </c:strRef>
          </c:cat>
          <c:val>
            <c:numRef>
              <c:f>'Chart Data'!$B$37:$B$42</c:f>
              <c:numCache>
                <c:formatCode>General</c:formatCode>
                <c:ptCount val="6"/>
                <c:pt idx="0">
                  <c:v>27</c:v>
                </c:pt>
                <c:pt idx="1">
                  <c:v>2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  <c:pt idx="5">
                  <c:v>18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333333"/>
                </a:solidFill>
                <a:latin typeface="Arial"/>
              </a:defRPr>
            </a:pPr>
            <a:r>
              <a:rPr b="1" sz="1200" spc="-1" strike="noStrike">
                <a:solidFill>
                  <a:srgbClr val="333333"/>
                </a:solidFill>
                <a:latin typeface="Arial"/>
              </a:rPr>
              <a:t>Resource Loading — Planned FTE per Week by Phase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'Chart Data'!F4</c:f>
              <c:strCache>
                <c:ptCount val="1"/>
                <c:pt idx="0">
                  <c:v>FTE: M1 Discovery</c:v>
                </c:pt>
              </c:strCache>
            </c:strRef>
          </c:tx>
          <c:spPr>
            <a:solidFill>
              <a:srgbClr val="e60000"/>
            </a:solidFill>
            <a:ln w="0">
              <a:solidFill>
                <a:srgbClr val="e6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Data'!$L$5:$L$25</c:f>
              <c:strCache>
                <c:ptCount val="21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</c:strCache>
            </c:strRef>
          </c:cat>
          <c:val>
            <c:numRef>
              <c:f>'Chart Data'!$F$5:$F$25</c:f>
              <c:numCache>
                <c:formatCode>General</c:formatCode>
                <c:ptCount val="21"/>
                <c:pt idx="0">
                  <c:v>8</c:v>
                </c:pt>
                <c:pt idx="1">
                  <c:v>8</c:v>
                </c:pt>
                <c:pt idx="2">
                  <c:v>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Data'!G4</c:f>
              <c:strCache>
                <c:ptCount val="1"/>
                <c:pt idx="0">
                  <c:v>FTE: M2 AI Foundation</c:v>
                </c:pt>
              </c:strCache>
            </c:strRef>
          </c:tx>
          <c:spPr>
            <a:solidFill>
              <a:srgbClr val="5e2750"/>
            </a:solidFill>
            <a:ln w="0">
              <a:solidFill>
                <a:srgbClr val="5e275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Data'!$L$5:$L$25</c:f>
              <c:strCache>
                <c:ptCount val="21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</c:strCache>
            </c:strRef>
          </c:cat>
          <c:val>
            <c:numRef>
              <c:f>'Chart Data'!$G$5:$G$25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7</c:v>
                </c:pt>
                <c:pt idx="6">
                  <c:v>6</c:v>
                </c:pt>
                <c:pt idx="7">
                  <c:v>4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2"/>
          <c:order val="2"/>
          <c:tx>
            <c:strRef>
              <c:f>'Chart Data'!H4</c:f>
              <c:strCache>
                <c:ptCount val="1"/>
                <c:pt idx="0">
                  <c:v>FTE: M3 Integration</c:v>
                </c:pt>
              </c:strCache>
            </c:strRef>
          </c:tx>
          <c:spPr>
            <a:solidFill>
              <a:srgbClr val="007c92"/>
            </a:solidFill>
            <a:ln w="0">
              <a:solidFill>
                <a:srgbClr val="007c92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Data'!$L$5:$L$25</c:f>
              <c:strCache>
                <c:ptCount val="21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</c:strCache>
            </c:strRef>
          </c:cat>
          <c:val>
            <c:numRef>
              <c:f>'Chart Data'!$H$5:$H$25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12</c:v>
                </c:pt>
                <c:pt idx="11">
                  <c:v>7</c:v>
                </c:pt>
                <c:pt idx="12">
                  <c:v>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3"/>
          <c:order val="3"/>
          <c:tx>
            <c:strRef>
              <c:f>'Chart Data'!I4</c:f>
              <c:strCache>
                <c:ptCount val="1"/>
                <c:pt idx="0">
                  <c:v>FTE: M4 Security &amp; QA</c:v>
                </c:pt>
              </c:strCache>
            </c:strRef>
          </c:tx>
          <c:spPr>
            <a:solidFill>
              <a:srgbClr val="a8b400"/>
            </a:solidFill>
            <a:ln w="0">
              <a:solidFill>
                <a:srgbClr val="a8b4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Data'!$L$5:$L$25</c:f>
              <c:strCache>
                <c:ptCount val="21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</c:strCache>
            </c:strRef>
          </c:cat>
          <c:val>
            <c:numRef>
              <c:f>'Chart Data'!$I$5:$I$25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</c:v>
                </c:pt>
                <c:pt idx="13">
                  <c:v>12</c:v>
                </c:pt>
                <c:pt idx="14">
                  <c:v>8</c:v>
                </c:pt>
                <c:pt idx="15">
                  <c:v>6</c:v>
                </c:pt>
                <c:pt idx="16">
                  <c:v>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4"/>
          <c:order val="4"/>
          <c:tx>
            <c:strRef>
              <c:f>'Chart Data'!J4</c:f>
              <c:strCache>
                <c:ptCount val="1"/>
                <c:pt idx="0">
                  <c:v>FTE: M5 Pilot &amp; Handover</c:v>
                </c:pt>
              </c:strCache>
            </c:strRef>
          </c:tx>
          <c:spPr>
            <a:solidFill>
              <a:srgbClr val="fecb00"/>
            </a:solidFill>
            <a:ln w="0">
              <a:solidFill>
                <a:srgbClr val="fecb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Data'!$L$5:$L$25</c:f>
              <c:strCache>
                <c:ptCount val="21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</c:strCache>
            </c:strRef>
          </c:cat>
          <c:val>
            <c:numRef>
              <c:f>'Chart Data'!$J$5:$J$25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11</c:v>
                </c:pt>
                <c:pt idx="18">
                  <c:v>10</c:v>
                </c:pt>
                <c:pt idx="19">
                  <c:v>8</c:v>
                </c:pt>
                <c:pt idx="20">
                  <c:v>8</c:v>
                </c:pt>
              </c:numCache>
            </c:numRef>
          </c:val>
        </c:ser>
        <c:gapWidth val="35"/>
        <c:overlap val="100"/>
        <c:axId val="79296243"/>
        <c:axId val="51317800"/>
      </c:barChart>
      <c:catAx>
        <c:axId val="792962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51317800"/>
        <c:crosses val="autoZero"/>
        <c:auto val="1"/>
        <c:lblAlgn val="ctr"/>
        <c:lblOffset val="100"/>
        <c:noMultiLvlLbl val="0"/>
      </c:catAx>
      <c:valAx>
        <c:axId val="51317800"/>
        <c:scaling>
          <c:orientation val="minMax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7929624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333333"/>
                </a:solidFill>
                <a:latin typeface="Arial"/>
              </a:defRPr>
            </a:pPr>
            <a:r>
              <a:rPr b="1" sz="1200" spc="-1" strike="noStrike">
                <a:solidFill>
                  <a:srgbClr val="333333"/>
                </a:solidFill>
                <a:latin typeface="Arial"/>
              </a:rPr>
              <a:t>Activity Burndown — Planned vs Actual Remaining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ndard"/>
        <c:ser>
          <c:idx val="0"/>
          <c:order val="0"/>
          <c:tx>
            <c:strRef>
              <c:f>'Chart Data'!E4</c:f>
              <c:strCache>
                <c:ptCount val="1"/>
                <c:pt idx="0">
                  <c:v>Planned Remaining</c:v>
                </c:pt>
              </c:strCache>
            </c:strRef>
          </c:tx>
          <c:spPr>
            <a:solidFill>
              <a:srgbClr val="e7e6e6"/>
            </a:solidFill>
            <a:ln w="0">
              <a:solidFill>
                <a:srgbClr val="a6a6a6"/>
              </a:solidFill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Data'!$L$5:$L$25</c:f>
              <c:strCache>
                <c:ptCount val="21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</c:strCache>
            </c:strRef>
          </c:cat>
          <c:val>
            <c:numRef>
              <c:f>'Chart Data'!$E$5:$E$25</c:f>
              <c:numCache>
                <c:formatCode>General</c:formatCode>
                <c:ptCount val="21"/>
                <c:pt idx="0">
                  <c:v>48</c:v>
                </c:pt>
                <c:pt idx="1">
                  <c:v>46</c:v>
                </c:pt>
                <c:pt idx="2">
                  <c:v>41</c:v>
                </c:pt>
                <c:pt idx="3">
                  <c:v>41</c:v>
                </c:pt>
                <c:pt idx="4">
                  <c:v>38</c:v>
                </c:pt>
                <c:pt idx="5">
                  <c:v>36</c:v>
                </c:pt>
                <c:pt idx="6">
                  <c:v>33</c:v>
                </c:pt>
                <c:pt idx="7">
                  <c:v>32</c:v>
                </c:pt>
                <c:pt idx="8">
                  <c:v>30</c:v>
                </c:pt>
                <c:pt idx="9">
                  <c:v>29</c:v>
                </c:pt>
                <c:pt idx="10">
                  <c:v>25</c:v>
                </c:pt>
                <c:pt idx="11">
                  <c:v>23</c:v>
                </c:pt>
                <c:pt idx="12">
                  <c:v>21</c:v>
                </c:pt>
                <c:pt idx="13">
                  <c:v>17</c:v>
                </c:pt>
                <c:pt idx="14">
                  <c:v>13</c:v>
                </c:pt>
                <c:pt idx="15">
                  <c:v>12</c:v>
                </c:pt>
                <c:pt idx="16">
                  <c:v>11</c:v>
                </c:pt>
                <c:pt idx="17">
                  <c:v>8</c:v>
                </c:pt>
                <c:pt idx="18">
                  <c:v>6</c:v>
                </c:pt>
                <c:pt idx="19">
                  <c:v>4</c:v>
                </c:pt>
                <c:pt idx="20">
                  <c:v>0</c:v>
                </c:pt>
              </c:numCache>
            </c:numRef>
          </c:val>
        </c:ser>
        <c:axId val="38768779"/>
        <c:axId val="20655130"/>
      </c:areaChart>
      <c:lineChart>
        <c:grouping val="standard"/>
        <c:varyColors val="0"/>
        <c:ser>
          <c:idx val="1"/>
          <c:order val="1"/>
          <c:tx>
            <c:strRef>
              <c:f>'Weekly Status Log'!H4</c:f>
              <c:strCache>
                <c:ptCount val="1"/>
                <c:pt idx="0">
                  <c:v>Activities
Remaining</c:v>
                </c:pt>
              </c:strCache>
            </c:strRef>
          </c:tx>
          <c:spPr>
            <a:solidFill>
              <a:srgbClr val="e60000"/>
            </a:solidFill>
            <a:ln w="31680">
              <a:solidFill>
                <a:srgbClr val="e60000"/>
              </a:solidFill>
              <a:round/>
            </a:ln>
          </c:spPr>
          <c:marker>
            <c:symbol val="circle"/>
            <c:size val="5"/>
            <c:spPr>
              <a:solidFill>
                <a:srgbClr val="e6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Data'!$L$5:$L$25</c:f>
              <c:strCache>
                <c:ptCount val="21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</c:strCache>
            </c:strRef>
          </c:cat>
          <c:val>
            <c:numRef>
              <c:f>'Weekly Status Log'!$H$5:$H$25</c:f>
              <c:numCache>
                <c:formatCode>0</c:formatCode>
                <c:ptCount val="21"/>
                <c:pt idx="0">
                  <c:v>48</c:v>
                </c:pt>
                <c:pt idx="1">
                  <c:v>47</c:v>
                </c:pt>
                <c:pt idx="2">
                  <c:v>42</c:v>
                </c:pt>
                <c:pt idx="3">
                  <c:v>41</c:v>
                </c:pt>
                <c:pt idx="4">
                  <c:v>39</c:v>
                </c:pt>
                <c:pt idx="5">
                  <c:v>36</c:v>
                </c:pt>
                <c:pt idx="6">
                  <c:v>34</c:v>
                </c:pt>
                <c:pt idx="7">
                  <c:v>32</c:v>
                </c:pt>
                <c:pt idx="8">
                  <c:v>31</c:v>
                </c:pt>
                <c:pt idx="9">
                  <c:v>30</c:v>
                </c:pt>
                <c:pt idx="10">
                  <c:v>27</c:v>
                </c:pt>
                <c:pt idx="11">
                  <c:v>25</c:v>
                </c:pt>
                <c:pt idx="12">
                  <c:v>24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38768779"/>
        <c:axId val="20655130"/>
      </c:lineChart>
      <c:catAx>
        <c:axId val="387687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20655130"/>
        <c:crosses val="autoZero"/>
        <c:auto val="1"/>
        <c:lblAlgn val="ctr"/>
        <c:lblOffset val="100"/>
        <c:noMultiLvlLbl val="0"/>
      </c:catAx>
      <c:valAx>
        <c:axId val="20655130"/>
        <c:scaling>
          <c:orientation val="minMax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3876877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333333"/>
                </a:solidFill>
                <a:latin typeface="Arial"/>
              </a:defRPr>
            </a:pPr>
            <a:r>
              <a:rPr b="1" sz="1200" spc="-1" strike="noStrike">
                <a:solidFill>
                  <a:srgbClr val="333333"/>
                </a:solidFill>
                <a:latin typeface="Arial"/>
              </a:rPr>
              <a:t>KPI Attainment vs Target (100% = target met)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KPIs!H4</c:f>
              <c:strCache>
                <c:ptCount val="1"/>
                <c:pt idx="0">
                  <c:v>Attainment</c:v>
                </c:pt>
              </c:strCache>
            </c:strRef>
          </c:tx>
          <c:spPr>
            <a:solidFill>
              <a:srgbClr val="007c92"/>
            </a:solidFill>
            <a:ln w="0">
              <a:solidFill>
                <a:srgbClr val="007c92"/>
              </a:solidFill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1" sz="800" spc="-1" strike="noStrike">
                    <a:solidFill>
                      <a:srgbClr val="007c92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KPIs!$A$5:$A$12</c:f>
              <c:strCache>
                <c:ptCount val="8"/>
                <c:pt idx="0">
                  <c:v>Answer groundedness</c:v>
                </c:pt>
                <c:pt idx="1">
                  <c:v>Citation correctness</c:v>
                </c:pt>
                <c:pt idx="2">
                  <c:v>Retrieval recall@5</c:v>
                </c:pt>
                <c:pt idx="3">
                  <c:v>Tool-call success rate</c:v>
                </c:pt>
                <c:pt idx="4">
                  <c:v>Unauthorized data access</c:v>
                </c:pt>
                <c:pt idx="5">
                  <c:v>P95 response time (s)</c:v>
                </c:pt>
                <c:pt idx="6">
                  <c:v>User satisfaction (CSAT)</c:v>
                </c:pt>
                <c:pt idx="7">
                  <c:v>Manual lookup effort reduction</c:v>
                </c:pt>
              </c:strCache>
            </c:strRef>
          </c:cat>
          <c:val>
            <c:numRef>
              <c:f>KPIs!$H$5:$H$12</c:f>
              <c:numCache>
                <c:formatCode>0%</c:formatCode>
                <c:ptCount val="8"/>
                <c:pt idx="0">
                  <c:v>0.966666666666667</c:v>
                </c:pt>
                <c:pt idx="1">
                  <c:v>0.957894736842105</c:v>
                </c:pt>
                <c:pt idx="2">
                  <c:v>1.03529411764706</c:v>
                </c:pt>
                <c:pt idx="3">
                  <c:v>0.974489795918367</c:v>
                </c:pt>
                <c:pt idx="4">
                  <c:v>1</c:v>
                </c:pt>
                <c:pt idx="5">
                  <c:v>1</c:v>
                </c:pt>
                <c:pt idx="6">
                  <c:v>1.05</c:v>
                </c:pt>
                <c:pt idx="7">
                  <c:v>0.8</c:v>
                </c:pt>
              </c:numCache>
            </c:numRef>
          </c:val>
        </c:ser>
        <c:gapWidth val="45"/>
        <c:overlap val="0"/>
        <c:axId val="93348714"/>
        <c:axId val="29334366"/>
      </c:barChart>
      <c:catAx>
        <c:axId val="9334871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29334366"/>
        <c:crosses val="autoZero"/>
        <c:auto val="1"/>
        <c:lblAlgn val="ctr"/>
        <c:lblOffset val="100"/>
        <c:noMultiLvlLbl val="0"/>
      </c:catAx>
      <c:valAx>
        <c:axId val="29334366"/>
        <c:scaling>
          <c:orientation val="minMax"/>
          <c:max val="1.3"/>
          <c:min val="0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93348714"/>
        <c:crosses val="autoZero"/>
        <c:crossBetween val="between"/>
        <c:majorUnit val="0.25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333333"/>
                </a:solidFill>
                <a:latin typeface="Arial"/>
              </a:defRPr>
            </a:pPr>
            <a:r>
              <a:rPr b="1" sz="1200" spc="-1" strike="noStrike">
                <a:solidFill>
                  <a:srgbClr val="333333"/>
                </a:solidFill>
                <a:latin typeface="Arial"/>
              </a:rPr>
              <a:t>RAID Items by Type &amp;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'Chart Data'!B52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rgbClr val="e60000"/>
            </a:solidFill>
            <a:ln w="0">
              <a:solidFill>
                <a:srgbClr val="e60000"/>
              </a:solidFill>
            </a:ln>
          </c:spPr>
          <c:invertIfNegative val="0"/>
          <c:dLbls>
            <c:numFmt formatCode="0;;;" sourceLinked="1"/>
            <c:txPr>
              <a:bodyPr wrap="square"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Data'!$A$53:$A$56</c:f>
              <c:strCache>
                <c:ptCount val="4"/>
                <c:pt idx="0">
                  <c:v>Risk</c:v>
                </c:pt>
                <c:pt idx="1">
                  <c:v>Issue</c:v>
                </c:pt>
                <c:pt idx="2">
                  <c:v>Assumption</c:v>
                </c:pt>
                <c:pt idx="3">
                  <c:v>Dependency</c:v>
                </c:pt>
              </c:strCache>
            </c:strRef>
          </c:cat>
          <c:val>
            <c:numRef>
              <c:f>'Chart Data'!$B$53:$B$56</c:f>
              <c:numCache>
                <c:formatCode>General</c:formatCode>
                <c:ptCount val="4"/>
                <c:pt idx="0">
                  <c:v>5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</c:numCache>
            </c:numRef>
          </c:val>
        </c:ser>
        <c:ser>
          <c:idx val="1"/>
          <c:order val="1"/>
          <c:tx>
            <c:strRef>
              <c:f>'Chart Data'!C52</c:f>
              <c:strCache>
                <c:ptCount val="1"/>
                <c:pt idx="0">
                  <c:v>Monitoring</c:v>
                </c:pt>
              </c:strCache>
            </c:strRef>
          </c:tx>
          <c:spPr>
            <a:solidFill>
              <a:srgbClr val="fecb00"/>
            </a:solidFill>
            <a:ln w="0">
              <a:solidFill>
                <a:srgbClr val="fecb00"/>
              </a:solidFill>
            </a:ln>
          </c:spPr>
          <c:invertIfNegative val="0"/>
          <c:dLbls>
            <c:numFmt formatCode="0;;;" sourceLinked="1"/>
            <c:txPr>
              <a:bodyPr wrap="square"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Data'!$A$53:$A$56</c:f>
              <c:strCache>
                <c:ptCount val="4"/>
                <c:pt idx="0">
                  <c:v>Risk</c:v>
                </c:pt>
                <c:pt idx="1">
                  <c:v>Issue</c:v>
                </c:pt>
                <c:pt idx="2">
                  <c:v>Assumption</c:v>
                </c:pt>
                <c:pt idx="3">
                  <c:v>Dependency</c:v>
                </c:pt>
              </c:strCache>
            </c:strRef>
          </c:cat>
          <c:val>
            <c:numRef>
              <c:f>'Chart Data'!$C$53:$C$56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</c:ser>
        <c:ser>
          <c:idx val="2"/>
          <c:order val="2"/>
          <c:tx>
            <c:strRef>
              <c:f>'Chart Data'!D52</c:f>
              <c:strCache>
                <c:ptCount val="1"/>
                <c:pt idx="0">
                  <c:v>Mitigated</c:v>
                </c:pt>
              </c:strCache>
            </c:strRef>
          </c:tx>
          <c:spPr>
            <a:solidFill>
              <a:srgbClr val="70ad47"/>
            </a:solidFill>
            <a:ln w="0">
              <a:solidFill>
                <a:srgbClr val="70ad47"/>
              </a:solidFill>
            </a:ln>
          </c:spPr>
          <c:invertIfNegative val="0"/>
          <c:dLbls>
            <c:numFmt formatCode="0;;;" sourceLinked="1"/>
            <c:txPr>
              <a:bodyPr wrap="square"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Data'!$A$53:$A$56</c:f>
              <c:strCache>
                <c:ptCount val="4"/>
                <c:pt idx="0">
                  <c:v>Risk</c:v>
                </c:pt>
                <c:pt idx="1">
                  <c:v>Issue</c:v>
                </c:pt>
                <c:pt idx="2">
                  <c:v>Assumption</c:v>
                </c:pt>
                <c:pt idx="3">
                  <c:v>Dependency</c:v>
                </c:pt>
              </c:strCache>
            </c:strRef>
          </c:cat>
          <c:val>
            <c:numRef>
              <c:f>'Chart Data'!$D$53:$D$56</c:f>
              <c:numCache>
                <c:formatCode>General</c:formatCode>
                <c:ptCount val="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3"/>
          <c:order val="3"/>
          <c:tx>
            <c:strRef>
              <c:f>'Chart Data'!E52</c:f>
              <c:strCache>
                <c:ptCount val="1"/>
                <c:pt idx="0">
                  <c:v>Closed</c:v>
                </c:pt>
              </c:strCache>
            </c:strRef>
          </c:tx>
          <c:spPr>
            <a:solidFill>
              <a:srgbClr val="bfbfbf"/>
            </a:solidFill>
            <a:ln w="0">
              <a:solidFill>
                <a:srgbClr val="bfbfbf"/>
              </a:solidFill>
            </a:ln>
          </c:spPr>
          <c:invertIfNegative val="0"/>
          <c:dLbls>
            <c:numFmt formatCode="0;;;" sourceLinked="1"/>
            <c:txPr>
              <a:bodyPr wrap="square"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Data'!$A$53:$A$56</c:f>
              <c:strCache>
                <c:ptCount val="4"/>
                <c:pt idx="0">
                  <c:v>Risk</c:v>
                </c:pt>
                <c:pt idx="1">
                  <c:v>Issue</c:v>
                </c:pt>
                <c:pt idx="2">
                  <c:v>Assumption</c:v>
                </c:pt>
                <c:pt idx="3">
                  <c:v>Dependency</c:v>
                </c:pt>
              </c:strCache>
            </c:strRef>
          </c:cat>
          <c:val>
            <c:numRef>
              <c:f>'Chart Data'!$E$53:$E$56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</c:ser>
        <c:gapWidth val="50"/>
        <c:overlap val="100"/>
        <c:axId val="99090393"/>
        <c:axId val="74172581"/>
      </c:barChart>
      <c:catAx>
        <c:axId val="9909039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74172581"/>
        <c:crosses val="autoZero"/>
        <c:auto val="1"/>
        <c:lblAlgn val="ctr"/>
        <c:lblOffset val="100"/>
        <c:noMultiLvlLbl val="0"/>
      </c:catAx>
      <c:valAx>
        <c:axId val="74172581"/>
        <c:scaling>
          <c:orientation val="minMax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9909039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333333"/>
                </a:solidFill>
                <a:latin typeface="Arial"/>
              </a:defRPr>
            </a:pPr>
            <a:r>
              <a:rPr b="1" sz="1200" spc="-1" strike="noStrike">
                <a:solidFill>
                  <a:srgbClr val="333333"/>
                </a:solidFill>
                <a:latin typeface="Arial"/>
              </a:rPr>
              <a:t>Risk Exposure Score (Probability × Impact)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'RAID Log'!G4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e60000"/>
            </a:solidFill>
            <a:ln w="0">
              <a:solidFill>
                <a:srgbClr val="e60000"/>
              </a:solidFill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1" sz="800" spc="-1" strike="noStrike">
                    <a:solidFill>
                      <a:srgbClr val="e6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'RAID Log'!$A$5:$A$14</c:f>
              <c:strCache>
                <c:ptCount val="10"/>
                <c:pt idx="0">
                  <c:v>R-01</c:v>
                </c:pt>
                <c:pt idx="1">
                  <c:v>R-02</c:v>
                </c:pt>
                <c:pt idx="2">
                  <c:v>R-03</c:v>
                </c:pt>
                <c:pt idx="3">
                  <c:v>R-04</c:v>
                </c:pt>
                <c:pt idx="4">
                  <c:v>R-05</c:v>
                </c:pt>
                <c:pt idx="5">
                  <c:v>R-06</c:v>
                </c:pt>
                <c:pt idx="6">
                  <c:v>R-07</c:v>
                </c:pt>
                <c:pt idx="7">
                  <c:v>R-08</c:v>
                </c:pt>
                <c:pt idx="8">
                  <c:v>R-09</c:v>
                </c:pt>
                <c:pt idx="9">
                  <c:v>R-10</c:v>
                </c:pt>
              </c:strCache>
            </c:strRef>
          </c:cat>
          <c:val>
            <c:numRef>
              <c:f>'RAID Log'!$G$5:$G$14</c:f>
              <c:numCache>
                <c:formatCode>General</c:formatCode>
                <c:ptCount val="10"/>
                <c:pt idx="0">
                  <c:v>20</c:v>
                </c:pt>
                <c:pt idx="1">
                  <c:v>8</c:v>
                </c:pt>
                <c:pt idx="2">
                  <c:v>12</c:v>
                </c:pt>
                <c:pt idx="3">
                  <c:v>10</c:v>
                </c:pt>
                <c:pt idx="4">
                  <c:v>15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6</c:v>
                </c:pt>
                <c:pt idx="9">
                  <c:v>6</c:v>
                </c:pt>
              </c:numCache>
            </c:numRef>
          </c:val>
        </c:ser>
        <c:gapWidth val="40"/>
        <c:overlap val="0"/>
        <c:axId val="20909032"/>
        <c:axId val="3172504"/>
      </c:barChart>
      <c:catAx>
        <c:axId val="2090903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3172504"/>
        <c:crosses val="autoZero"/>
        <c:auto val="1"/>
        <c:lblAlgn val="ctr"/>
        <c:lblOffset val="100"/>
        <c:noMultiLvlLbl val="0"/>
      </c:catAx>
      <c:valAx>
        <c:axId val="3172504"/>
        <c:scaling>
          <c:orientation val="minMax"/>
          <c:max val="25"/>
          <c:min val="0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20909032"/>
        <c:crosses val="autoZero"/>
        <c:crossBetween val="between"/>
        <c:majorUnit val="5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333333"/>
                </a:solidFill>
                <a:latin typeface="Arial"/>
              </a:defRPr>
            </a:pPr>
            <a:r>
              <a:rPr b="1" sz="1200" spc="-1" strike="noStrike">
                <a:solidFill>
                  <a:srgbClr val="333333"/>
                </a:solidFill>
                <a:latin typeface="Arial"/>
              </a:rPr>
              <a:t>Active Risks by Rating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'Chart Data'!B45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e60000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fecb00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70ad47"/>
              </a:solidFill>
              <a:ln w="0">
                <a:solidFill>
                  <a:srgbClr val="ffffff"/>
                </a:solidFill>
              </a:ln>
            </c:spPr>
          </c:dPt>
          <c:dLbls>
            <c:numFmt formatCode="0" sourceLinked="1"/>
            <c:dLbl>
              <c:idx val="0"/>
              <c:numFmt formatCode="0" sourceLinked="1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1f1f1f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" sourceLinked="1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1f1f1f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" sourceLinked="1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1f1f1f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1" sz="1000" spc="-1" strike="noStrike">
                    <a:solidFill>
                      <a:srgbClr val="1f1f1f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'Chart Data'!$A$46:$A$48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'Chart Data'!$B$46:$B$48</c:f>
              <c:numCache>
                <c:formatCode>General</c:formatCode>
                <c:ptCount val="3"/>
                <c:pt idx="0">
                  <c:v>2</c:v>
                </c:pt>
                <c:pt idx="1">
                  <c:v>6</c:v>
                </c:pt>
                <c:pt idx="2">
                  <c:v>2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0</xdr:rowOff>
    </xdr:from>
    <xdr:to>
      <xdr:col>13</xdr:col>
      <xdr:colOff>88560</xdr:colOff>
      <xdr:row>37</xdr:row>
      <xdr:rowOff>181080</xdr:rowOff>
    </xdr:to>
    <xdr:graphicFrame>
      <xdr:nvGraphicFramePr>
        <xdr:cNvPr id="0" name="Chart 1"/>
        <xdr:cNvGraphicFramePr/>
      </xdr:nvGraphicFramePr>
      <xdr:xfrm>
        <a:off x="0" y="4886280"/>
        <a:ext cx="7055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20</xdr:row>
      <xdr:rowOff>0</xdr:rowOff>
    </xdr:from>
    <xdr:to>
      <xdr:col>25</xdr:col>
      <xdr:colOff>12960</xdr:colOff>
      <xdr:row>37</xdr:row>
      <xdr:rowOff>181080</xdr:rowOff>
    </xdr:to>
    <xdr:graphicFrame>
      <xdr:nvGraphicFramePr>
        <xdr:cNvPr id="1" name="Chart 2"/>
        <xdr:cNvGraphicFramePr/>
      </xdr:nvGraphicFramePr>
      <xdr:xfrm>
        <a:off x="6431400" y="4886280"/>
        <a:ext cx="7055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40</xdr:row>
      <xdr:rowOff>0</xdr:rowOff>
    </xdr:from>
    <xdr:to>
      <xdr:col>13</xdr:col>
      <xdr:colOff>88560</xdr:colOff>
      <xdr:row>57</xdr:row>
      <xdr:rowOff>181080</xdr:rowOff>
    </xdr:to>
    <xdr:graphicFrame>
      <xdr:nvGraphicFramePr>
        <xdr:cNvPr id="2" name="Chart 3"/>
        <xdr:cNvGraphicFramePr/>
      </xdr:nvGraphicFramePr>
      <xdr:xfrm>
        <a:off x="0" y="8753400"/>
        <a:ext cx="7055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0</xdr:colOff>
      <xdr:row>40</xdr:row>
      <xdr:rowOff>0</xdr:rowOff>
    </xdr:from>
    <xdr:to>
      <xdr:col>25</xdr:col>
      <xdr:colOff>12960</xdr:colOff>
      <xdr:row>57</xdr:row>
      <xdr:rowOff>181080</xdr:rowOff>
    </xdr:to>
    <xdr:graphicFrame>
      <xdr:nvGraphicFramePr>
        <xdr:cNvPr id="3" name="Chart 4"/>
        <xdr:cNvGraphicFramePr/>
      </xdr:nvGraphicFramePr>
      <xdr:xfrm>
        <a:off x="6431400" y="8753400"/>
        <a:ext cx="7055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60</xdr:row>
      <xdr:rowOff>0</xdr:rowOff>
    </xdr:from>
    <xdr:to>
      <xdr:col>13</xdr:col>
      <xdr:colOff>88560</xdr:colOff>
      <xdr:row>77</xdr:row>
      <xdr:rowOff>181080</xdr:rowOff>
    </xdr:to>
    <xdr:graphicFrame>
      <xdr:nvGraphicFramePr>
        <xdr:cNvPr id="4" name="Chart 5"/>
        <xdr:cNvGraphicFramePr/>
      </xdr:nvGraphicFramePr>
      <xdr:xfrm>
        <a:off x="0" y="12620520"/>
        <a:ext cx="7055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12</xdr:col>
      <xdr:colOff>0</xdr:colOff>
      <xdr:row>60</xdr:row>
      <xdr:rowOff>0</xdr:rowOff>
    </xdr:from>
    <xdr:to>
      <xdr:col>25</xdr:col>
      <xdr:colOff>12960</xdr:colOff>
      <xdr:row>77</xdr:row>
      <xdr:rowOff>181080</xdr:rowOff>
    </xdr:to>
    <xdr:graphicFrame>
      <xdr:nvGraphicFramePr>
        <xdr:cNvPr id="5" name="Chart 6"/>
        <xdr:cNvGraphicFramePr/>
      </xdr:nvGraphicFramePr>
      <xdr:xfrm>
        <a:off x="6431400" y="12620520"/>
        <a:ext cx="7055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80</xdr:row>
      <xdr:rowOff>0</xdr:rowOff>
    </xdr:from>
    <xdr:to>
      <xdr:col>13</xdr:col>
      <xdr:colOff>88560</xdr:colOff>
      <xdr:row>97</xdr:row>
      <xdr:rowOff>181080</xdr:rowOff>
    </xdr:to>
    <xdr:graphicFrame>
      <xdr:nvGraphicFramePr>
        <xdr:cNvPr id="6" name="Chart 7"/>
        <xdr:cNvGraphicFramePr/>
      </xdr:nvGraphicFramePr>
      <xdr:xfrm>
        <a:off x="0" y="16487640"/>
        <a:ext cx="7055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12</xdr:col>
      <xdr:colOff>0</xdr:colOff>
      <xdr:row>80</xdr:row>
      <xdr:rowOff>0</xdr:rowOff>
    </xdr:from>
    <xdr:to>
      <xdr:col>25</xdr:col>
      <xdr:colOff>12960</xdr:colOff>
      <xdr:row>97</xdr:row>
      <xdr:rowOff>181080</xdr:rowOff>
    </xdr:to>
    <xdr:graphicFrame>
      <xdr:nvGraphicFramePr>
        <xdr:cNvPr id="7" name="Chart 8"/>
        <xdr:cNvGraphicFramePr/>
      </xdr:nvGraphicFramePr>
      <xdr:xfrm>
        <a:off x="6431400" y="16487640"/>
        <a:ext cx="7055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100</xdr:row>
      <xdr:rowOff>0</xdr:rowOff>
    </xdr:from>
    <xdr:to>
      <xdr:col>13</xdr:col>
      <xdr:colOff>88560</xdr:colOff>
      <xdr:row>117</xdr:row>
      <xdr:rowOff>181080</xdr:rowOff>
    </xdr:to>
    <xdr:graphicFrame>
      <xdr:nvGraphicFramePr>
        <xdr:cNvPr id="8" name="Chart 9"/>
        <xdr:cNvGraphicFramePr/>
      </xdr:nvGraphicFramePr>
      <xdr:xfrm>
        <a:off x="0" y="20354760"/>
        <a:ext cx="7055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12</xdr:col>
      <xdr:colOff>0</xdr:colOff>
      <xdr:row>100</xdr:row>
      <xdr:rowOff>0</xdr:rowOff>
    </xdr:from>
    <xdr:to>
      <xdr:col>25</xdr:col>
      <xdr:colOff>12960</xdr:colOff>
      <xdr:row>117</xdr:row>
      <xdr:rowOff>181080</xdr:rowOff>
    </xdr:to>
    <xdr:graphicFrame>
      <xdr:nvGraphicFramePr>
        <xdr:cNvPr id="9" name="Chart 10"/>
        <xdr:cNvGraphicFramePr/>
      </xdr:nvGraphicFramePr>
      <xdr:xfrm>
        <a:off x="6431400" y="20354760"/>
        <a:ext cx="7055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0</xdr:colOff>
      <xdr:row>120</xdr:row>
      <xdr:rowOff>0</xdr:rowOff>
    </xdr:from>
    <xdr:to>
      <xdr:col>13</xdr:col>
      <xdr:colOff>88560</xdr:colOff>
      <xdr:row>137</xdr:row>
      <xdr:rowOff>181440</xdr:rowOff>
    </xdr:to>
    <xdr:graphicFrame>
      <xdr:nvGraphicFramePr>
        <xdr:cNvPr id="10" name="Chart 11"/>
        <xdr:cNvGraphicFramePr/>
      </xdr:nvGraphicFramePr>
      <xdr:xfrm>
        <a:off x="0" y="24222240"/>
        <a:ext cx="7055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12</xdr:col>
      <xdr:colOff>0</xdr:colOff>
      <xdr:row>120</xdr:row>
      <xdr:rowOff>0</xdr:rowOff>
    </xdr:from>
    <xdr:to>
      <xdr:col>25</xdr:col>
      <xdr:colOff>12960</xdr:colOff>
      <xdr:row>137</xdr:row>
      <xdr:rowOff>181440</xdr:rowOff>
    </xdr:to>
    <xdr:graphicFrame>
      <xdr:nvGraphicFramePr>
        <xdr:cNvPr id="11" name="Chart 12"/>
        <xdr:cNvGraphicFramePr/>
      </xdr:nvGraphicFramePr>
      <xdr:xfrm>
        <a:off x="6431400" y="24222240"/>
        <a:ext cx="7055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0000"/>
    <pageSetUpPr fitToPage="true"/>
  </sheetPr>
  <dimension ref="A1:X199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4" min="1" style="0" width="7.61"/>
  </cols>
  <sheetData>
    <row r="1" customFormat="false" ht="31.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8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8" hidden="false" customHeight="true" outlineLevel="0" collapsed="false">
      <c r="A3" s="4" t="str">
        <f aca="false">"Status as at "&amp;TEXT(StatusDate,"dd mmm yyyy")&amp;"   ·   Week "&amp;(INT((StatusDate-ProjectStart)/7)+1)&amp;" of 20   ·   PM: Ananya Rao   ·   Sponsor: Rajesh Menon"</f>
        <v>Status as at 15 Jan 2027   ·   Week 13 of 20   ·   PM: Ananya Rao   ·   Sponsor: Rajesh Menon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15" hidden="false" customHeight="fals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customFormat="false" ht="18" hidden="false" customHeight="true" outlineLevel="0" collapsed="false">
      <c r="A5" s="6" t="s">
        <v>2</v>
      </c>
      <c r="B5" s="6"/>
      <c r="C5" s="6"/>
      <c r="D5" s="6"/>
      <c r="E5" s="7" t="s">
        <v>3</v>
      </c>
      <c r="F5" s="7"/>
      <c r="G5" s="7"/>
      <c r="H5" s="7"/>
      <c r="I5" s="8" t="s">
        <v>4</v>
      </c>
      <c r="J5" s="8"/>
      <c r="K5" s="8"/>
      <c r="L5" s="8"/>
      <c r="M5" s="9" t="s">
        <v>5</v>
      </c>
      <c r="N5" s="9"/>
      <c r="O5" s="9"/>
      <c r="P5" s="9"/>
      <c r="Q5" s="10" t="s">
        <v>6</v>
      </c>
      <c r="R5" s="10"/>
      <c r="S5" s="10"/>
      <c r="T5" s="10"/>
      <c r="U5" s="6" t="s">
        <v>7</v>
      </c>
      <c r="V5" s="6"/>
      <c r="W5" s="6"/>
      <c r="X5" s="6"/>
    </row>
    <row r="6" customFormat="false" ht="36" hidden="false" customHeight="true" outlineLevel="0" collapsed="false">
      <c r="A6" s="11" t="n">
        <f aca="false">'WBS Schedule'!K7</f>
        <v>0.534242424242424</v>
      </c>
      <c r="B6" s="11"/>
      <c r="C6" s="11"/>
      <c r="D6" s="11"/>
      <c r="E6" s="12" t="n">
        <f aca="false">IF('WBS Schedule'!Q7=0,1,'WBS Schedule'!R7/'WBS Schedule'!Q7)</f>
        <v>0.942780748663102</v>
      </c>
      <c r="F6" s="12"/>
      <c r="G6" s="12"/>
      <c r="H6" s="12"/>
      <c r="I6" s="12" t="n">
        <f aca="false">IF('WBS Schedule'!S7=0,1,'WBS Schedule'!R7/'WBS Schedule'!S7)</f>
        <v>0.962401910610713</v>
      </c>
      <c r="J6" s="12"/>
      <c r="K6" s="12"/>
      <c r="L6" s="12"/>
      <c r="M6" s="13" t="n">
        <f aca="false">'WBS Schedule'!P7</f>
        <v>105.6</v>
      </c>
      <c r="N6" s="13"/>
      <c r="O6" s="13"/>
      <c r="P6" s="13"/>
      <c r="Q6" s="14" t="str">
        <f aca="false">COUNT(Milestones!F5:F9)&amp;" / 5"</f>
        <v>2 / 5</v>
      </c>
      <c r="R6" s="14"/>
      <c r="S6" s="14"/>
      <c r="T6" s="14"/>
      <c r="U6" s="14" t="str">
        <f aca="false">IF(OR(IF('WBS Schedule'!Q7=0,1,'WBS Schedule'!R7/'WBS Schedule'!Q7)&lt;0.9,IF('WBS Schedule'!S7=0,1,'WBS Schedule'!R7/'WBS Schedule'!S7)&lt;0.9),"RED",IF(OR(IF('WBS Schedule'!Q7=0,1,'WBS Schedule'!R7/'WBS Schedule'!Q7)&lt;0.97,IF('WBS Schedule'!S7=0,1,'WBS Schedule'!R7/'WBS Schedule'!S7)&lt;0.97),"AMBER","GREEN"))</f>
        <v>AMBER</v>
      </c>
      <c r="V6" s="14"/>
      <c r="W6" s="14"/>
      <c r="X6" s="14"/>
    </row>
    <row r="7" customFormat="false" ht="15.75" hidden="false" customHeight="true" outlineLevel="0" collapsed="false">
      <c r="A7" s="15" t="str">
        <f aca="false">"Planned: "&amp;TEXT('WBS Schedule'!J7,"0%")</f>
        <v>Planned: 57%</v>
      </c>
      <c r="B7" s="15"/>
      <c r="C7" s="15"/>
      <c r="D7" s="15"/>
      <c r="E7" s="15" t="str">
        <f aca="false">IF(IF('WBS Schedule'!Q7=0,1,'WBS Schedule'!R7/'WBS Schedule'!Q7)&gt;=0.97,"On schedule",IF(IF('WBS Schedule'!Q7=0,1,'WBS Schedule'!R7/'WBS Schedule'!Q7)&gt;=0.9,"Slightly behind","Behind schedule"))</f>
        <v>Slightly behind</v>
      </c>
      <c r="F7" s="15"/>
      <c r="G7" s="15"/>
      <c r="H7" s="15"/>
      <c r="I7" s="15" t="str">
        <f aca="false">IF(IF('WBS Schedule'!S7=0,1,'WBS Schedule'!R7/'WBS Schedule'!S7)&gt;=0.97,"Within budget",IF(IF('WBS Schedule'!S7=0,1,'WBS Schedule'!R7/'WBS Schedule'!S7)&gt;=0.9,"Minor overrun","Over budget"))</f>
        <v>Minor overrun</v>
      </c>
      <c r="J7" s="15"/>
      <c r="K7" s="15"/>
      <c r="L7" s="15"/>
      <c r="M7" s="15" t="str">
        <f aca="false">"EAC: ₹"&amp;TEXT('WBS Schedule'!P7/IF('WBS Schedule'!S7=0,1,'WBS Schedule'!R7/'WBS Schedule'!S7),"#,##0.0")&amp;" L"</f>
        <v>EAC: ₹109.7 L</v>
      </c>
      <c r="N7" s="15"/>
      <c r="O7" s="15"/>
      <c r="P7" s="15"/>
      <c r="Q7" s="15" t="str">
        <f aca="false">"Next: "&amp;INDEX(Milestones!B5:B9,MATCH("",Milestones!F5:F9&amp;"",0))</f>
        <v>Next: Application integrations</v>
      </c>
      <c r="R7" s="15"/>
      <c r="S7" s="15"/>
      <c r="T7" s="15"/>
      <c r="U7" s="15" t="s">
        <v>8</v>
      </c>
      <c r="V7" s="15"/>
      <c r="W7" s="15"/>
      <c r="X7" s="15"/>
    </row>
    <row r="8" customFormat="false" ht="7.5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customFormat="false" ht="18" hidden="false" customHeight="true" outlineLevel="0" collapsed="false">
      <c r="A9" s="6" t="s">
        <v>9</v>
      </c>
      <c r="B9" s="6"/>
      <c r="C9" s="6"/>
      <c r="D9" s="6"/>
      <c r="E9" s="7" t="s">
        <v>10</v>
      </c>
      <c r="F9" s="7"/>
      <c r="G9" s="7"/>
      <c r="H9" s="7"/>
      <c r="I9" s="8" t="s">
        <v>11</v>
      </c>
      <c r="J9" s="8"/>
      <c r="K9" s="8"/>
      <c r="L9" s="8"/>
      <c r="M9" s="9" t="s">
        <v>12</v>
      </c>
      <c r="N9" s="9"/>
      <c r="O9" s="9"/>
      <c r="P9" s="9"/>
      <c r="Q9" s="10" t="s">
        <v>13</v>
      </c>
      <c r="R9" s="10"/>
      <c r="S9" s="10"/>
      <c r="T9" s="10"/>
      <c r="U9" s="6" t="s">
        <v>14</v>
      </c>
      <c r="V9" s="6"/>
      <c r="W9" s="6"/>
      <c r="X9" s="6"/>
    </row>
    <row r="10" customFormat="false" ht="36" hidden="false" customHeight="true" outlineLevel="0" collapsed="false">
      <c r="A10" s="16" t="n">
        <f aca="false">Milestones!E9</f>
        <v>46458</v>
      </c>
      <c r="B10" s="16"/>
      <c r="C10" s="16"/>
      <c r="D10" s="16"/>
      <c r="E10" s="17" t="n">
        <f aca="false">NETWORKDAYS(ProjectStart,StatusDate,Holidays)</f>
        <v>61</v>
      </c>
      <c r="F10" s="17"/>
      <c r="G10" s="17"/>
      <c r="H10" s="17"/>
      <c r="I10" s="17" t="n">
        <f aca="false">COUNTIFS('WBS Schedule'!$B$7:$B$68,2,'WBS Schedule'!$G$7:$G$68,"&gt;0",'WBS Schedule'!$M$7:$M$68,"Complete")</f>
        <v>27</v>
      </c>
      <c r="J10" s="17"/>
      <c r="K10" s="17"/>
      <c r="L10" s="17"/>
      <c r="M10" s="17" t="n">
        <f aca="false">COUNTIFS('WBS Schedule'!$B$7:$B$68,2,'WBS Schedule'!$M$7:$M$68,"Behind")+COUNTIFS('WBS Schedule'!$B$7:$B$68,2,'WBS Schedule'!$M$7:$M$68,"Overdue")</f>
        <v>5</v>
      </c>
      <c r="N10" s="17"/>
      <c r="O10" s="17"/>
      <c r="P10" s="17"/>
      <c r="Q10" s="17" t="n">
        <f aca="false">'Chart Data'!B46</f>
        <v>2</v>
      </c>
      <c r="R10" s="17"/>
      <c r="S10" s="17"/>
      <c r="T10" s="17"/>
      <c r="U10" s="18" t="n">
        <f aca="false">'WBS Schedule'!R7-'WBS Schedule'!S7</f>
        <v>-2.20399999999999</v>
      </c>
      <c r="V10" s="18"/>
      <c r="W10" s="18"/>
      <c r="X10" s="18"/>
    </row>
    <row r="11" customFormat="false" ht="15.75" hidden="false" customHeight="true" outlineLevel="0" collapsed="false">
      <c r="A11" s="15" t="str">
        <f aca="false">"Baseline: "&amp;TEXT(Milestones!D9,"dd-mmm-yy")</f>
        <v>Baseline: 12-Mar-27</v>
      </c>
      <c r="B11" s="15"/>
      <c r="C11" s="15"/>
      <c r="D11" s="15"/>
      <c r="E11" s="15" t="str">
        <f aca="false">"of "&amp;'WBS Schedule'!G7&amp;" total · "&amp;TEXT(NETWORKDAYS(ProjectStart,StatusDate,Holidays)/'WBS Schedule'!G7,"0%")</f>
        <v>of 100 total · 61%</v>
      </c>
      <c r="F11" s="15"/>
      <c r="G11" s="15"/>
      <c r="H11" s="15"/>
      <c r="I11" s="15" t="str">
        <f aca="false">"of "&amp;COUNTIFS('WBS Schedule'!$B$7:$B$68,2,'WBS Schedule'!$G$7:$G$68,"&gt;0")&amp;" activities"</f>
        <v>of 51 activities</v>
      </c>
      <c r="J11" s="15"/>
      <c r="K11" s="15"/>
      <c r="L11" s="15"/>
      <c r="M11" s="15" t="s">
        <v>15</v>
      </c>
      <c r="N11" s="15"/>
      <c r="O11" s="15"/>
      <c r="P11" s="15"/>
      <c r="Q11" s="15" t="str">
        <f aca="false">"of "&amp;COUNTIFS('RAID Log'!B5:B22,"Risk",'RAID Log'!K5:K22,"&lt;&gt;Closed")&amp;" active risks"</f>
        <v>of 10 active risks</v>
      </c>
      <c r="R11" s="15"/>
      <c r="S11" s="15"/>
      <c r="T11" s="15"/>
      <c r="U11" s="15" t="str">
        <f aca="false">"EV ₹"&amp;TEXT('WBS Schedule'!R7,"0.0")&amp;" L vs AC ₹"&amp;TEXT('WBS Schedule'!S7,"0.0")&amp;" L"</f>
        <v>EV ₹56.4 L vs AC ₹58.6 L</v>
      </c>
      <c r="V11" s="15"/>
      <c r="W11" s="15"/>
      <c r="X11" s="15"/>
    </row>
    <row r="12" customFormat="false" ht="7.5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customFormat="false" ht="19.5" hidden="false" customHeight="true" outlineLevel="0" collapsed="false">
      <c r="A13" s="19" t="s">
        <v>16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 t="s">
        <v>17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</row>
    <row r="14" customFormat="false" ht="18.75" hidden="false" customHeight="true" outlineLevel="0" collapsed="false">
      <c r="A14" s="20" t="s">
        <v>18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 t="s">
        <v>19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</row>
    <row r="15" customFormat="false" ht="18.75" hidden="false" customHeight="true" outlineLevel="0" collapsed="false">
      <c r="A15" s="20" t="s">
        <v>20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 t="s">
        <v>21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</row>
    <row r="16" customFormat="false" ht="18.75" hidden="false" customHeight="true" outlineLevel="0" collapsed="false">
      <c r="A16" s="20" t="s">
        <v>22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 t="s">
        <v>23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</row>
    <row r="17" customFormat="false" ht="18.75" hidden="false" customHeight="true" outlineLevel="0" collapsed="false">
      <c r="A17" s="20" t="s">
        <v>24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 t="s">
        <v>25</v>
      </c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</row>
    <row r="18" customFormat="false" ht="18.75" hidden="false" customHeight="true" outlineLevel="0" collapsed="false">
      <c r="A18" s="20" t="s">
        <v>26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 t="s">
        <v>27</v>
      </c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customFormat="false" ht="19.5" hidden="false" customHeight="true" outlineLevel="0" collapsed="false">
      <c r="A20" s="19" t="s">
        <v>28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 t="s">
        <v>29</v>
      </c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customFormat="false" ht="19.5" hidden="false" customHeight="true" outlineLevel="0" collapsed="false">
      <c r="A40" s="19" t="s">
        <v>30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 t="s">
        <v>31</v>
      </c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customFormat="false" ht="1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customFormat="false" ht="1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customFormat="false" ht="1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customFormat="false" ht="1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customFormat="false" ht="1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customFormat="false" ht="1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customFormat="false" ht="1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customFormat="false" ht="1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customFormat="false" ht="1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customFormat="false" ht="1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customFormat="false" ht="15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customFormat="false" ht="1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customFormat="false" ht="15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customFormat="false" ht="1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customFormat="false" ht="1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customFormat="false" ht="1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customFormat="false" ht="19.5" hidden="false" customHeight="true" outlineLevel="0" collapsed="false">
      <c r="A60" s="19" t="s">
        <v>32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 t="s">
        <v>33</v>
      </c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</row>
    <row r="61" customFormat="false" ht="15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customFormat="false" ht="15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customFormat="false" ht="15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customFormat="false" ht="15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customFormat="false" ht="15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customFormat="false" ht="1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customFormat="false" ht="1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customFormat="false" ht="15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customFormat="false" ht="1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customFormat="false" ht="15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customFormat="false" ht="15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customFormat="false" ht="15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customFormat="false" ht="15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customFormat="false" ht="15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customFormat="false" ht="15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customFormat="false" ht="15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customFormat="false" ht="15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customFormat="false" ht="1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customFormat="false" ht="1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customFormat="false" ht="19.5" hidden="false" customHeight="true" outlineLevel="0" collapsed="false">
      <c r="A80" s="19" t="s">
        <v>34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 t="s">
        <v>35</v>
      </c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</row>
    <row r="81" customFormat="false" ht="15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customFormat="false" ht="15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customFormat="false" ht="15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customFormat="false" ht="15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customFormat="false" ht="15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customFormat="false" ht="15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customFormat="false" ht="15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customFormat="false" ht="15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customFormat="false" ht="15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customFormat="false" ht="1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customFormat="false" ht="1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customFormat="false" ht="15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customFormat="false" ht="15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customFormat="false" ht="15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customFormat="false" ht="15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customFormat="false" ht="15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customFormat="false" ht="15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customFormat="false" ht="15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customFormat="false" ht="15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customFormat="false" ht="19.5" hidden="false" customHeight="true" outlineLevel="0" collapsed="false">
      <c r="A100" s="19" t="s">
        <v>36</v>
      </c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 t="s">
        <v>37</v>
      </c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</row>
    <row r="101" customFormat="false" ht="15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customFormat="false" ht="15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customFormat="false" ht="15" hidden="false" customHeight="fals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customFormat="false" ht="15" hidden="false" customHeight="fals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customFormat="false" ht="15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customFormat="false" ht="15" hidden="false" customHeight="fals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customFormat="false" ht="15" hidden="false" customHeight="fals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customFormat="false" ht="15" hidden="false" customHeight="fals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customFormat="false" ht="15" hidden="false" customHeight="fals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customFormat="false" ht="15" hidden="false" customHeight="fals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customFormat="false" ht="15" hidden="false" customHeight="fals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customFormat="false" ht="15" hidden="false" customHeight="fals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customFormat="false" ht="15" hidden="false" customHeight="fals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customFormat="false" ht="15" hidden="false" customHeight="fals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customFormat="false" ht="15" hidden="false" customHeight="fals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customFormat="false" ht="15" hidden="false" customHeight="fals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customFormat="false" ht="15" hidden="false" customHeight="fals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customFormat="false" ht="15" hidden="false" customHeight="fals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customFormat="false" ht="15" hidden="false" customHeight="fals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customFormat="false" ht="19.5" hidden="false" customHeight="true" outlineLevel="0" collapsed="false">
      <c r="A120" s="19" t="s">
        <v>38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 t="s">
        <v>39</v>
      </c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</row>
    <row r="121" customFormat="false" ht="15" hidden="false" customHeight="fals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customFormat="false" ht="15" hidden="false" customHeight="fals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customFormat="false" ht="15" hidden="false" customHeight="fals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customFormat="false" ht="15" hidden="false" customHeight="fals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customFormat="false" ht="15" hidden="false" customHeight="fals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customFormat="false" ht="15" hidden="false" customHeight="fals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customFormat="false" ht="15" hidden="false" customHeight="fals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customFormat="false" ht="15" hidden="false" customHeight="fals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customFormat="false" ht="15" hidden="false" customHeight="fals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customFormat="false" ht="15" hidden="false" customHeight="fals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customFormat="false" ht="15" hidden="false" customHeight="fals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customFormat="false" ht="15" hidden="false" customHeight="fals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customFormat="false" ht="15" hidden="false" customHeight="fals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customFormat="false" ht="15" hidden="false" customHeight="fals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customFormat="false" ht="15" hidden="false" customHeight="fals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customFormat="false" ht="15" hidden="false" customHeight="fals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customFormat="false" ht="15" hidden="false" customHeight="fals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customFormat="false" ht="15" hidden="false" customHeight="fals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customFormat="false" ht="15" hidden="false" customHeight="fals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customFormat="false" ht="19.5" hidden="false" customHeight="true" outlineLevel="0" collapsed="false">
      <c r="A140" s="19" t="s">
        <v>40</v>
      </c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 t="s">
        <v>41</v>
      </c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</row>
    <row r="141" customFormat="false" ht="15" hidden="false" customHeight="true" outlineLevel="0" collapsed="false">
      <c r="A141" s="21" t="s">
        <v>42</v>
      </c>
      <c r="B141" s="21"/>
      <c r="C141" s="22" t="n">
        <v>1</v>
      </c>
      <c r="D141" s="22"/>
      <c r="E141" s="22" t="n">
        <v>2</v>
      </c>
      <c r="F141" s="22"/>
      <c r="G141" s="22" t="n">
        <v>3</v>
      </c>
      <c r="H141" s="22"/>
      <c r="I141" s="22" t="n">
        <v>4</v>
      </c>
      <c r="J141" s="22"/>
      <c r="K141" s="22" t="n">
        <v>5</v>
      </c>
      <c r="L141" s="22"/>
      <c r="M141" s="23" t="s">
        <v>43</v>
      </c>
      <c r="N141" s="24" t="s">
        <v>44</v>
      </c>
      <c r="O141" s="24"/>
      <c r="P141" s="24"/>
      <c r="Q141" s="24"/>
      <c r="R141" s="24" t="s">
        <v>45</v>
      </c>
      <c r="S141" s="24"/>
      <c r="T141" s="24" t="s">
        <v>46</v>
      </c>
      <c r="U141" s="24"/>
      <c r="V141" s="24" t="s">
        <v>47</v>
      </c>
      <c r="W141" s="24"/>
      <c r="X141" s="23" t="s">
        <v>48</v>
      </c>
    </row>
    <row r="142" customFormat="false" ht="25.5" hidden="false" customHeight="true" outlineLevel="0" collapsed="false">
      <c r="A142" s="22" t="n">
        <v>5</v>
      </c>
      <c r="B142" s="22"/>
      <c r="C142" s="25" t="n">
        <f aca="false">COUNTIFS('RAID Log'!$B$5:$B$22,"Risk",'RAID Log'!$E$5:$E$22,5,'RAID Log'!$F$5:$F$22,1,'RAID Log'!$K$5:$K$22,"&lt;&gt;Closed")</f>
        <v>0</v>
      </c>
      <c r="D142" s="25"/>
      <c r="E142" s="26" t="n">
        <f aca="false">COUNTIFS('RAID Log'!$B$5:$B$22,"Risk",'RAID Log'!$E$5:$E$22,5,'RAID Log'!$F$5:$F$22,2,'RAID Log'!$K$5:$K$22,"&lt;&gt;Closed")</f>
        <v>0</v>
      </c>
      <c r="F142" s="26"/>
      <c r="G142" s="27" t="n">
        <f aca="false">COUNTIFS('RAID Log'!$B$5:$B$22,"Risk",'RAID Log'!$E$5:$E$22,5,'RAID Log'!$F$5:$F$22,3,'RAID Log'!$K$5:$K$22,"&lt;&gt;Closed")</f>
        <v>0</v>
      </c>
      <c r="H142" s="27"/>
      <c r="I142" s="27" t="n">
        <f aca="false">COUNTIFS('RAID Log'!$B$5:$B$22,"Risk",'RAID Log'!$E$5:$E$22,5,'RAID Log'!$F$5:$F$22,4,'RAID Log'!$K$5:$K$22,"&lt;&gt;Closed")</f>
        <v>0</v>
      </c>
      <c r="J142" s="27"/>
      <c r="K142" s="27" t="n">
        <f aca="false">COUNTIFS('RAID Log'!$B$5:$B$22,"Risk",'RAID Log'!$E$5:$E$22,5,'RAID Log'!$F$5:$F$22,5,'RAID Log'!$K$5:$K$22,"&lt;&gt;Closed")</f>
        <v>0</v>
      </c>
      <c r="L142" s="27"/>
      <c r="M142" s="28" t="str">
        <f aca="false">Milestones!A5</f>
        <v>M1</v>
      </c>
      <c r="N142" s="29" t="str">
        <f aca="false">Milestones!B5</f>
        <v>Architecture approved</v>
      </c>
      <c r="O142" s="29"/>
      <c r="P142" s="29"/>
      <c r="Q142" s="29"/>
      <c r="R142" s="30" t="n">
        <f aca="false">Milestones!D5</f>
        <v>46342</v>
      </c>
      <c r="S142" s="30"/>
      <c r="T142" s="30" t="n">
        <f aca="false">IF(Milestones!F5&lt;&gt;"",Milestones!F5,Milestones!E5)</f>
        <v>46342</v>
      </c>
      <c r="U142" s="30"/>
      <c r="V142" s="31" t="str">
        <f aca="false">Milestones!H5</f>
        <v>Achieved</v>
      </c>
      <c r="W142" s="31"/>
      <c r="X142" s="32" t="n">
        <f aca="false">Milestones!G5</f>
        <v>-0</v>
      </c>
    </row>
    <row r="143" customFormat="false" ht="25.5" hidden="false" customHeight="true" outlineLevel="0" collapsed="false">
      <c r="A143" s="22" t="n">
        <v>4</v>
      </c>
      <c r="B143" s="22"/>
      <c r="C143" s="25" t="n">
        <f aca="false">COUNTIFS('RAID Log'!$B$5:$B$22,"Risk",'RAID Log'!$E$5:$E$22,4,'RAID Log'!$F$5:$F$22,1,'RAID Log'!$K$5:$K$22,"&lt;&gt;Closed")</f>
        <v>0</v>
      </c>
      <c r="D143" s="25"/>
      <c r="E143" s="26" t="n">
        <f aca="false">COUNTIFS('RAID Log'!$B$5:$B$22,"Risk",'RAID Log'!$E$5:$E$22,4,'RAID Log'!$F$5:$F$22,2,'RAID Log'!$K$5:$K$22,"&lt;&gt;Closed")</f>
        <v>0</v>
      </c>
      <c r="F143" s="26"/>
      <c r="G143" s="26" t="n">
        <f aca="false">COUNTIFS('RAID Log'!$B$5:$B$22,"Risk",'RAID Log'!$E$5:$E$22,4,'RAID Log'!$F$5:$F$22,3,'RAID Log'!$K$5:$K$22,"&lt;&gt;Closed")</f>
        <v>1</v>
      </c>
      <c r="H143" s="26"/>
      <c r="I143" s="27" t="n">
        <f aca="false">COUNTIFS('RAID Log'!$B$5:$B$22,"Risk",'RAID Log'!$E$5:$E$22,4,'RAID Log'!$F$5:$F$22,4,'RAID Log'!$K$5:$K$22,"&lt;&gt;Closed")</f>
        <v>0</v>
      </c>
      <c r="J143" s="27"/>
      <c r="K143" s="27" t="n">
        <f aca="false">COUNTIFS('RAID Log'!$B$5:$B$22,"Risk",'RAID Log'!$E$5:$E$22,4,'RAID Log'!$F$5:$F$22,5,'RAID Log'!$K$5:$K$22,"&lt;&gt;Closed")</f>
        <v>1</v>
      </c>
      <c r="L143" s="27"/>
      <c r="M143" s="28" t="str">
        <f aca="false">Milestones!A6</f>
        <v>M2</v>
      </c>
      <c r="N143" s="29" t="str">
        <f aca="false">Milestones!B6</f>
        <v>AI assistant MVP</v>
      </c>
      <c r="O143" s="29"/>
      <c r="P143" s="29"/>
      <c r="Q143" s="29"/>
      <c r="R143" s="30" t="n">
        <f aca="false">Milestones!D6</f>
        <v>46371</v>
      </c>
      <c r="S143" s="30"/>
      <c r="T143" s="30" t="n">
        <f aca="false">IF(Milestones!F6&lt;&gt;"",Milestones!F6,Milestones!E6)</f>
        <v>46370</v>
      </c>
      <c r="U143" s="30"/>
      <c r="V143" s="31" t="str">
        <f aca="false">Milestones!H6</f>
        <v>Achieved</v>
      </c>
      <c r="W143" s="31"/>
      <c r="X143" s="32" t="n">
        <f aca="false">Milestones!G6</f>
        <v>-1</v>
      </c>
    </row>
    <row r="144" customFormat="false" ht="25.5" hidden="false" customHeight="true" outlineLevel="0" collapsed="false">
      <c r="A144" s="22" t="n">
        <v>3</v>
      </c>
      <c r="B144" s="22"/>
      <c r="C144" s="25" t="n">
        <f aca="false">COUNTIFS('RAID Log'!$B$5:$B$22,"Risk",'RAID Log'!$E$5:$E$22,3,'RAID Log'!$F$5:$F$22,1,'RAID Log'!$K$5:$K$22,"&lt;&gt;Closed")</f>
        <v>0</v>
      </c>
      <c r="D144" s="25"/>
      <c r="E144" s="25" t="n">
        <f aca="false">COUNTIFS('RAID Log'!$B$5:$B$22,"Risk",'RAID Log'!$E$5:$E$22,3,'RAID Log'!$F$5:$F$22,2,'RAID Log'!$K$5:$K$22,"&lt;&gt;Closed")</f>
        <v>0</v>
      </c>
      <c r="F144" s="25"/>
      <c r="G144" s="26" t="n">
        <f aca="false">COUNTIFS('RAID Log'!$B$5:$B$22,"Risk",'RAID Log'!$E$5:$E$22,3,'RAID Log'!$F$5:$F$22,3,'RAID Log'!$K$5:$K$22,"&lt;&gt;Closed")</f>
        <v>0</v>
      </c>
      <c r="H144" s="26"/>
      <c r="I144" s="26" t="n">
        <f aca="false">COUNTIFS('RAID Log'!$B$5:$B$22,"Risk",'RAID Log'!$E$5:$E$22,3,'RAID Log'!$F$5:$F$22,4,'RAID Log'!$K$5:$K$22,"&lt;&gt;Closed")</f>
        <v>3</v>
      </c>
      <c r="J144" s="26"/>
      <c r="K144" s="27" t="n">
        <f aca="false">COUNTIFS('RAID Log'!$B$5:$B$22,"Risk",'RAID Log'!$E$5:$E$22,3,'RAID Log'!$F$5:$F$22,5,'RAID Log'!$K$5:$K$22,"&lt;&gt;Closed")</f>
        <v>1</v>
      </c>
      <c r="L144" s="27"/>
      <c r="M144" s="28" t="str">
        <f aca="false">Milestones!A7</f>
        <v>M3</v>
      </c>
      <c r="N144" s="29" t="str">
        <f aca="false">Milestones!B7</f>
        <v>Application integrations</v>
      </c>
      <c r="O144" s="29"/>
      <c r="P144" s="29"/>
      <c r="Q144" s="29"/>
      <c r="R144" s="30" t="n">
        <f aca="false">Milestones!D7</f>
        <v>46401</v>
      </c>
      <c r="S144" s="30"/>
      <c r="T144" s="30" t="n">
        <f aca="false">IF(Milestones!F7&lt;&gt;"",Milestones!F7,Milestones!E7)</f>
        <v>46409</v>
      </c>
      <c r="U144" s="30"/>
      <c r="V144" s="31" t="str">
        <f aca="false">Milestones!H7</f>
        <v>At Risk</v>
      </c>
      <c r="W144" s="31"/>
      <c r="X144" s="32" t="n">
        <f aca="false">Milestones!G7</f>
        <v>6</v>
      </c>
    </row>
    <row r="145" customFormat="false" ht="25.5" hidden="false" customHeight="true" outlineLevel="0" collapsed="false">
      <c r="A145" s="22" t="n">
        <v>2</v>
      </c>
      <c r="B145" s="22"/>
      <c r="C145" s="25" t="n">
        <f aca="false">COUNTIFS('RAID Log'!$B$5:$B$22,"Risk",'RAID Log'!$E$5:$E$22,2,'RAID Log'!$F$5:$F$22,1,'RAID Log'!$K$5:$K$22,"&lt;&gt;Closed")</f>
        <v>0</v>
      </c>
      <c r="D145" s="25"/>
      <c r="E145" s="25" t="n">
        <f aca="false">COUNTIFS('RAID Log'!$B$5:$B$22,"Risk",'RAID Log'!$E$5:$E$22,2,'RAID Log'!$F$5:$F$22,2,'RAID Log'!$K$5:$K$22,"&lt;&gt;Closed")</f>
        <v>0</v>
      </c>
      <c r="F145" s="25"/>
      <c r="G145" s="25" t="n">
        <f aca="false">COUNTIFS('RAID Log'!$B$5:$B$22,"Risk",'RAID Log'!$E$5:$E$22,2,'RAID Log'!$F$5:$F$22,3,'RAID Log'!$K$5:$K$22,"&lt;&gt;Closed")</f>
        <v>2</v>
      </c>
      <c r="H145" s="25"/>
      <c r="I145" s="26" t="n">
        <f aca="false">COUNTIFS('RAID Log'!$B$5:$B$22,"Risk",'RAID Log'!$E$5:$E$22,2,'RAID Log'!$F$5:$F$22,4,'RAID Log'!$K$5:$K$22,"&lt;&gt;Closed")</f>
        <v>1</v>
      </c>
      <c r="J145" s="26"/>
      <c r="K145" s="26" t="n">
        <f aca="false">COUNTIFS('RAID Log'!$B$5:$B$22,"Risk",'RAID Log'!$E$5:$E$22,2,'RAID Log'!$F$5:$F$22,5,'RAID Log'!$K$5:$K$22,"&lt;&gt;Closed")</f>
        <v>1</v>
      </c>
      <c r="L145" s="26"/>
      <c r="M145" s="28" t="str">
        <f aca="false">Milestones!A8</f>
        <v>M4</v>
      </c>
      <c r="N145" s="29" t="str">
        <f aca="false">Milestones!B8</f>
        <v>Release candidate</v>
      </c>
      <c r="O145" s="29"/>
      <c r="P145" s="29"/>
      <c r="Q145" s="29"/>
      <c r="R145" s="30" t="n">
        <f aca="false">Milestones!D8</f>
        <v>46430</v>
      </c>
      <c r="S145" s="30"/>
      <c r="T145" s="30" t="n">
        <f aca="false">IF(Milestones!F8&lt;&gt;"",Milestones!F8,Milestones!E8)</f>
        <v>46434</v>
      </c>
      <c r="U145" s="30"/>
      <c r="V145" s="31" t="str">
        <f aca="false">Milestones!H8</f>
        <v>At Risk</v>
      </c>
      <c r="W145" s="31"/>
      <c r="X145" s="32" t="n">
        <f aca="false">Milestones!G8</f>
        <v>2</v>
      </c>
    </row>
    <row r="146" customFormat="false" ht="25.5" hidden="false" customHeight="true" outlineLevel="0" collapsed="false">
      <c r="A146" s="22" t="n">
        <v>1</v>
      </c>
      <c r="B146" s="22"/>
      <c r="C146" s="25" t="n">
        <f aca="false">COUNTIFS('RAID Log'!$B$5:$B$22,"Risk",'RAID Log'!$E$5:$E$22,1,'RAID Log'!$F$5:$F$22,1,'RAID Log'!$K$5:$K$22,"&lt;&gt;Closed")</f>
        <v>0</v>
      </c>
      <c r="D146" s="25"/>
      <c r="E146" s="25" t="n">
        <f aca="false">COUNTIFS('RAID Log'!$B$5:$B$22,"Risk",'RAID Log'!$E$5:$E$22,1,'RAID Log'!$F$5:$F$22,2,'RAID Log'!$K$5:$K$22,"&lt;&gt;Closed")</f>
        <v>0</v>
      </c>
      <c r="F146" s="25"/>
      <c r="G146" s="25" t="n">
        <f aca="false">COUNTIFS('RAID Log'!$B$5:$B$22,"Risk",'RAID Log'!$E$5:$E$22,1,'RAID Log'!$F$5:$F$22,3,'RAID Log'!$K$5:$K$22,"&lt;&gt;Closed")</f>
        <v>0</v>
      </c>
      <c r="H146" s="25"/>
      <c r="I146" s="25" t="n">
        <f aca="false">COUNTIFS('RAID Log'!$B$5:$B$22,"Risk",'RAID Log'!$E$5:$E$22,1,'RAID Log'!$F$5:$F$22,4,'RAID Log'!$K$5:$K$22,"&lt;&gt;Closed")</f>
        <v>0</v>
      </c>
      <c r="J146" s="25"/>
      <c r="K146" s="25" t="n">
        <f aca="false">COUNTIFS('RAID Log'!$B$5:$B$22,"Risk",'RAID Log'!$E$5:$E$22,1,'RAID Log'!$F$5:$F$22,5,'RAID Log'!$K$5:$K$22,"&lt;&gt;Closed")</f>
        <v>0</v>
      </c>
      <c r="L146" s="25"/>
      <c r="M146" s="28" t="str">
        <f aca="false">Milestones!A9</f>
        <v>M5</v>
      </c>
      <c r="N146" s="29" t="str">
        <f aca="false">Milestones!B9</f>
        <v>Pilot accepted</v>
      </c>
      <c r="O146" s="29"/>
      <c r="P146" s="29"/>
      <c r="Q146" s="29"/>
      <c r="R146" s="30" t="n">
        <f aca="false">Milestones!D9</f>
        <v>46458</v>
      </c>
      <c r="S146" s="30"/>
      <c r="T146" s="30" t="n">
        <f aca="false">IF(Milestones!F9&lt;&gt;"",Milestones!F9,Milestones!E9)</f>
        <v>46458</v>
      </c>
      <c r="U146" s="30"/>
      <c r="V146" s="31" t="str">
        <f aca="false">Milestones!H9</f>
        <v>On Track</v>
      </c>
      <c r="W146" s="31"/>
      <c r="X146" s="32" t="n">
        <f aca="false">Milestones!G9</f>
        <v>-0</v>
      </c>
    </row>
    <row r="147" customFormat="false" ht="15" hidden="false" customHeight="fals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customFormat="false" ht="15" hidden="false" customHeight="fals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customFormat="false" ht="19.5" hidden="false" customHeight="true" outlineLevel="0" collapsed="false">
      <c r="A149" s="19" t="s">
        <v>49</v>
      </c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</row>
    <row r="150" customFormat="false" ht="15" hidden="false" customHeight="true" outlineLevel="0" collapsed="false">
      <c r="A150" s="24" t="s">
        <v>50</v>
      </c>
      <c r="B150" s="24"/>
      <c r="C150" s="24"/>
      <c r="D150" s="24"/>
      <c r="E150" s="24"/>
      <c r="F150" s="24" t="s">
        <v>51</v>
      </c>
      <c r="G150" s="24"/>
      <c r="H150" s="24" t="s">
        <v>52</v>
      </c>
      <c r="I150" s="24"/>
      <c r="J150" s="24" t="s">
        <v>53</v>
      </c>
      <c r="K150" s="24"/>
      <c r="L150" s="24" t="s">
        <v>54</v>
      </c>
      <c r="M150" s="24"/>
      <c r="N150" s="24" t="s">
        <v>55</v>
      </c>
      <c r="O150" s="24"/>
      <c r="P150" s="24" t="s">
        <v>56</v>
      </c>
      <c r="Q150" s="24"/>
      <c r="R150" s="24" t="s">
        <v>57</v>
      </c>
      <c r="S150" s="24"/>
      <c r="T150" s="24" t="s">
        <v>58</v>
      </c>
      <c r="U150" s="24"/>
      <c r="V150" s="24" t="s">
        <v>47</v>
      </c>
      <c r="W150" s="24"/>
      <c r="X150" s="24"/>
    </row>
    <row r="151" customFormat="false" ht="19.5" hidden="false" customHeight="true" outlineLevel="0" collapsed="false">
      <c r="A151" s="29" t="s">
        <v>59</v>
      </c>
      <c r="B151" s="29"/>
      <c r="C151" s="29"/>
      <c r="D151" s="29"/>
      <c r="E151" s="29"/>
      <c r="F151" s="30" t="n">
        <f aca="false">'WBS Schedule'!H8</f>
        <v>46314</v>
      </c>
      <c r="G151" s="30"/>
      <c r="H151" s="30" t="n">
        <f aca="false">'WBS Schedule'!I8</f>
        <v>46342</v>
      </c>
      <c r="I151" s="30"/>
      <c r="J151" s="33" t="n">
        <f aca="false">'WBS Schedule'!P8</f>
        <v>16.96</v>
      </c>
      <c r="K151" s="33"/>
      <c r="L151" s="33" t="n">
        <f aca="false">'WBS Schedule'!R8</f>
        <v>16.96</v>
      </c>
      <c r="M151" s="33"/>
      <c r="N151" s="33" t="n">
        <f aca="false">'WBS Schedule'!S8</f>
        <v>16.26</v>
      </c>
      <c r="O151" s="33"/>
      <c r="P151" s="34" t="n">
        <f aca="false">IF('WBS Schedule'!S8=0,1,'WBS Schedule'!R8/'WBS Schedule'!S8)</f>
        <v>1.04305043050431</v>
      </c>
      <c r="Q151" s="34"/>
      <c r="R151" s="35" t="n">
        <f aca="false">'WBS Schedule'!J8</f>
        <v>1</v>
      </c>
      <c r="S151" s="35"/>
      <c r="T151" s="35" t="n">
        <f aca="false">'WBS Schedule'!K8</f>
        <v>1</v>
      </c>
      <c r="U151" s="35"/>
      <c r="V151" s="31" t="str">
        <f aca="false">'WBS Schedule'!M8</f>
        <v>Complete</v>
      </c>
      <c r="W151" s="31"/>
      <c r="X151" s="31"/>
    </row>
    <row r="152" customFormat="false" ht="19.5" hidden="false" customHeight="true" outlineLevel="0" collapsed="false">
      <c r="A152" s="29" t="s">
        <v>60</v>
      </c>
      <c r="B152" s="29"/>
      <c r="C152" s="29"/>
      <c r="D152" s="29"/>
      <c r="E152" s="29"/>
      <c r="F152" s="30" t="n">
        <f aca="false">'WBS Schedule'!H20</f>
        <v>46343</v>
      </c>
      <c r="G152" s="30"/>
      <c r="H152" s="30" t="n">
        <f aca="false">'WBS Schedule'!I20</f>
        <v>46371</v>
      </c>
      <c r="I152" s="30"/>
      <c r="J152" s="33" t="n">
        <f aca="false">'WBS Schedule'!P20</f>
        <v>17.28</v>
      </c>
      <c r="K152" s="33"/>
      <c r="L152" s="33" t="n">
        <f aca="false">'WBS Schedule'!R20</f>
        <v>17.28</v>
      </c>
      <c r="M152" s="33"/>
      <c r="N152" s="33" t="n">
        <f aca="false">'WBS Schedule'!S20</f>
        <v>17.9</v>
      </c>
      <c r="O152" s="33"/>
      <c r="P152" s="34" t="n">
        <f aca="false">IF('WBS Schedule'!S20=0,1,'WBS Schedule'!R20/'WBS Schedule'!S20)</f>
        <v>0.96536312849162</v>
      </c>
      <c r="Q152" s="34"/>
      <c r="R152" s="35" t="n">
        <f aca="false">'WBS Schedule'!J20</f>
        <v>1</v>
      </c>
      <c r="S152" s="35"/>
      <c r="T152" s="35" t="n">
        <f aca="false">'WBS Schedule'!K20</f>
        <v>1</v>
      </c>
      <c r="U152" s="35"/>
      <c r="V152" s="31" t="str">
        <f aca="false">'WBS Schedule'!M20</f>
        <v>Complete</v>
      </c>
      <c r="W152" s="31"/>
      <c r="X152" s="31"/>
    </row>
    <row r="153" customFormat="false" ht="19.5" hidden="false" customHeight="true" outlineLevel="0" collapsed="false">
      <c r="A153" s="29" t="s">
        <v>61</v>
      </c>
      <c r="B153" s="29"/>
      <c r="C153" s="29"/>
      <c r="D153" s="29"/>
      <c r="E153" s="29"/>
      <c r="F153" s="30" t="n">
        <f aca="false">'WBS Schedule'!H32</f>
        <v>46372</v>
      </c>
      <c r="G153" s="30"/>
      <c r="H153" s="30" t="n">
        <f aca="false">'WBS Schedule'!I32</f>
        <v>46401</v>
      </c>
      <c r="I153" s="30"/>
      <c r="J153" s="33" t="n">
        <f aca="false">'WBS Schedule'!P32</f>
        <v>23.68</v>
      </c>
      <c r="K153" s="33"/>
      <c r="L153" s="33" t="n">
        <f aca="false">'WBS Schedule'!R32</f>
        <v>20</v>
      </c>
      <c r="M153" s="33"/>
      <c r="N153" s="33" t="n">
        <f aca="false">'WBS Schedule'!S32</f>
        <v>22.28</v>
      </c>
      <c r="O153" s="33"/>
      <c r="P153" s="34" t="n">
        <f aca="false">IF('WBS Schedule'!S32=0,1,'WBS Schedule'!R32/'WBS Schedule'!S32)</f>
        <v>0.897666068222621</v>
      </c>
      <c r="Q153" s="34"/>
      <c r="R153" s="35" t="n">
        <f aca="false">'WBS Schedule'!J32</f>
        <v>1</v>
      </c>
      <c r="S153" s="35"/>
      <c r="T153" s="35" t="n">
        <f aca="false">'WBS Schedule'!K32</f>
        <v>0.844594594594595</v>
      </c>
      <c r="U153" s="35"/>
      <c r="V153" s="31" t="str">
        <f aca="false">'WBS Schedule'!M32</f>
        <v>Overdue</v>
      </c>
      <c r="W153" s="31"/>
      <c r="X153" s="31"/>
    </row>
    <row r="154" customFormat="false" ht="19.5" hidden="false" customHeight="true" outlineLevel="0" collapsed="false">
      <c r="A154" s="29" t="s">
        <v>62</v>
      </c>
      <c r="B154" s="29"/>
      <c r="C154" s="29"/>
      <c r="D154" s="29"/>
      <c r="E154" s="29"/>
      <c r="F154" s="30" t="n">
        <f aca="false">'WBS Schedule'!H44</f>
        <v>46402</v>
      </c>
      <c r="G154" s="30"/>
      <c r="H154" s="30" t="n">
        <f aca="false">'WBS Schedule'!I44</f>
        <v>46430</v>
      </c>
      <c r="I154" s="30"/>
      <c r="J154" s="33" t="n">
        <f aca="false">'WBS Schedule'!P44</f>
        <v>23.68</v>
      </c>
      <c r="K154" s="33"/>
      <c r="L154" s="33" t="n">
        <f aca="false">'WBS Schedule'!R44</f>
        <v>2.176</v>
      </c>
      <c r="M154" s="33"/>
      <c r="N154" s="33" t="n">
        <f aca="false">'WBS Schedule'!S44</f>
        <v>2.18</v>
      </c>
      <c r="O154" s="33"/>
      <c r="P154" s="34" t="n">
        <f aca="false">IF('WBS Schedule'!S44=0,1,'WBS Schedule'!R44/'WBS Schedule'!S44)</f>
        <v>0.998165137614679</v>
      </c>
      <c r="Q154" s="34"/>
      <c r="R154" s="35" t="n">
        <f aca="false">'WBS Schedule'!J44</f>
        <v>0.0810810810810811</v>
      </c>
      <c r="S154" s="35"/>
      <c r="T154" s="35" t="n">
        <f aca="false">'WBS Schedule'!K44</f>
        <v>0.0918918918918919</v>
      </c>
      <c r="U154" s="35"/>
      <c r="V154" s="31" t="str">
        <f aca="false">'WBS Schedule'!M44</f>
        <v>In Progress</v>
      </c>
      <c r="W154" s="31"/>
      <c r="X154" s="31"/>
    </row>
    <row r="155" customFormat="false" ht="19.5" hidden="false" customHeight="true" outlineLevel="0" collapsed="false">
      <c r="A155" s="29" t="s">
        <v>63</v>
      </c>
      <c r="B155" s="29"/>
      <c r="C155" s="29"/>
      <c r="D155" s="29"/>
      <c r="E155" s="29"/>
      <c r="F155" s="30" t="n">
        <f aca="false">'WBS Schedule'!H56</f>
        <v>46433</v>
      </c>
      <c r="G155" s="30"/>
      <c r="H155" s="30" t="n">
        <f aca="false">'WBS Schedule'!I56</f>
        <v>46458</v>
      </c>
      <c r="I155" s="30"/>
      <c r="J155" s="33" t="n">
        <f aca="false">'WBS Schedule'!P56</f>
        <v>24</v>
      </c>
      <c r="K155" s="33"/>
      <c r="L155" s="33" t="n">
        <f aca="false">'WBS Schedule'!R56</f>
        <v>0</v>
      </c>
      <c r="M155" s="33"/>
      <c r="N155" s="33" t="n">
        <f aca="false">'WBS Schedule'!S56</f>
        <v>0</v>
      </c>
      <c r="O155" s="33"/>
      <c r="P155" s="34" t="n">
        <f aca="false">IF('WBS Schedule'!S56=0,1,'WBS Schedule'!R56/'WBS Schedule'!S56)</f>
        <v>1</v>
      </c>
      <c r="Q155" s="34"/>
      <c r="R155" s="35" t="n">
        <f aca="false">'WBS Schedule'!J56</f>
        <v>0</v>
      </c>
      <c r="S155" s="35"/>
      <c r="T155" s="35" t="n">
        <f aca="false">'WBS Schedule'!K56</f>
        <v>0</v>
      </c>
      <c r="U155" s="35"/>
      <c r="V155" s="31" t="str">
        <f aca="false">'WBS Schedule'!M56</f>
        <v>Not Started</v>
      </c>
      <c r="W155" s="31"/>
      <c r="X155" s="31"/>
    </row>
    <row r="156" customFormat="false" ht="19.5" hidden="false" customHeight="true" outlineLevel="0" collapsed="false">
      <c r="A156" s="36" t="s">
        <v>64</v>
      </c>
      <c r="B156" s="36"/>
      <c r="C156" s="36"/>
      <c r="D156" s="36"/>
      <c r="E156" s="36"/>
      <c r="F156" s="37" t="n">
        <f aca="false">'WBS Schedule'!H7</f>
        <v>46314</v>
      </c>
      <c r="G156" s="37"/>
      <c r="H156" s="37" t="n">
        <f aca="false">'WBS Schedule'!I7</f>
        <v>46458</v>
      </c>
      <c r="I156" s="37"/>
      <c r="J156" s="38" t="n">
        <f aca="false">'WBS Schedule'!P7</f>
        <v>105.6</v>
      </c>
      <c r="K156" s="38"/>
      <c r="L156" s="38" t="n">
        <f aca="false">'WBS Schedule'!R7</f>
        <v>56.416</v>
      </c>
      <c r="M156" s="38"/>
      <c r="N156" s="38" t="n">
        <f aca="false">'WBS Schedule'!S7</f>
        <v>58.62</v>
      </c>
      <c r="O156" s="38"/>
      <c r="P156" s="39" t="n">
        <f aca="false">IF('WBS Schedule'!S7=0,1,'WBS Schedule'!R7/'WBS Schedule'!S7)</f>
        <v>0.962401910610713</v>
      </c>
      <c r="Q156" s="39"/>
      <c r="R156" s="40" t="n">
        <f aca="false">'WBS Schedule'!J7</f>
        <v>0.566666666666667</v>
      </c>
      <c r="S156" s="40"/>
      <c r="T156" s="40" t="n">
        <f aca="false">'WBS Schedule'!K7</f>
        <v>0.534242424242424</v>
      </c>
      <c r="U156" s="40"/>
      <c r="V156" s="41" t="str">
        <f aca="false">'WBS Schedule'!M7</f>
        <v>In Progress</v>
      </c>
      <c r="W156" s="41"/>
      <c r="X156" s="41"/>
    </row>
    <row r="157" customFormat="false" ht="15" hidden="false" customHeight="fals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customFormat="false" ht="15" hidden="false" customHeight="false" outlineLevel="0" collapsed="false">
      <c r="A158" s="42" t="s">
        <v>65</v>
      </c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customFormat="false" ht="15" hidden="false" customHeight="fals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customFormat="false" ht="15" hidden="false" customHeight="fals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customFormat="false" ht="15" hidden="false" customHeight="fals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customFormat="false" ht="15" hidden="false" customHeight="fals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customFormat="false" ht="15" hidden="false" customHeight="fals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customFormat="false" ht="15" hidden="false" customHeight="fals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customFormat="false" ht="15" hidden="false" customHeight="fals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customFormat="false" ht="15" hidden="false" customHeight="fals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customFormat="false" ht="15" hidden="false" customHeight="fals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customFormat="false" ht="15" hidden="false" customHeight="fals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customFormat="false" ht="15" hidden="false" customHeight="fals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customFormat="false" ht="15" hidden="false" customHeight="fals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customFormat="false" ht="15" hidden="false" customHeight="fals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customFormat="false" ht="15" hidden="false" customHeight="fals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customFormat="false" ht="15" hidden="false" customHeight="fals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customFormat="false" ht="15" hidden="false" customHeight="fals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customFormat="false" ht="15" hidden="false" customHeight="fals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customFormat="false" ht="15" hidden="false" customHeight="fals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customFormat="false" ht="15" hidden="false" customHeight="fals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customFormat="false" ht="15" hidden="false" customHeight="fals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customFormat="false" ht="15" hidden="false" customHeight="fals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customFormat="false" ht="15" hidden="false" customHeight="fals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customFormat="false" ht="15" hidden="false" customHeight="fals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customFormat="false" ht="15" hidden="false" customHeight="fals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customFormat="false" ht="15" hidden="false" customHeight="fals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customFormat="false" ht="15" hidden="false" customHeight="fals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customFormat="false" ht="15" hidden="false" customHeight="fals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customFormat="false" ht="15" hidden="false" customHeight="fals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customFormat="false" ht="15" hidden="false" customHeight="fals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customFormat="false" ht="15" hidden="false" customHeight="fals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customFormat="false" ht="15" hidden="false" customHeight="fals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customFormat="false" ht="15" hidden="false" customHeight="fals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customFormat="false" ht="15" hidden="false" customHeight="fals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customFormat="false" ht="15" hidden="false" customHeight="fals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customFormat="false" ht="15" hidden="false" customHeight="fals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customFormat="false" ht="15" hidden="false" customHeight="fals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customFormat="false" ht="15" hidden="false" customHeight="fals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customFormat="false" ht="15" hidden="false" customHeight="fals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customFormat="false" ht="15" hidden="false" customHeight="fals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customFormat="false" ht="15" hidden="false" customHeight="fals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customFormat="false" ht="15" hidden="false" customHeight="fals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</sheetData>
  <mergeCells count="193">
    <mergeCell ref="A5:D5"/>
    <mergeCell ref="E5:H5"/>
    <mergeCell ref="I5:L5"/>
    <mergeCell ref="M5:P5"/>
    <mergeCell ref="Q5:T5"/>
    <mergeCell ref="U5:X5"/>
    <mergeCell ref="A6:D6"/>
    <mergeCell ref="E6:H6"/>
    <mergeCell ref="I6:L6"/>
    <mergeCell ref="M6:P6"/>
    <mergeCell ref="Q6:T6"/>
    <mergeCell ref="U6:X6"/>
    <mergeCell ref="A7:D7"/>
    <mergeCell ref="E7:H7"/>
    <mergeCell ref="I7:L7"/>
    <mergeCell ref="M7:P7"/>
    <mergeCell ref="Q7:T7"/>
    <mergeCell ref="U7:X7"/>
    <mergeCell ref="A9:D9"/>
    <mergeCell ref="E9:H9"/>
    <mergeCell ref="I9:L9"/>
    <mergeCell ref="M9:P9"/>
    <mergeCell ref="Q9:T9"/>
    <mergeCell ref="U9:X9"/>
    <mergeCell ref="A10:D10"/>
    <mergeCell ref="E10:H10"/>
    <mergeCell ref="I10:L10"/>
    <mergeCell ref="M10:P10"/>
    <mergeCell ref="Q10:T10"/>
    <mergeCell ref="U10:X10"/>
    <mergeCell ref="A11:D11"/>
    <mergeCell ref="E11:H11"/>
    <mergeCell ref="I11:L11"/>
    <mergeCell ref="M11:P11"/>
    <mergeCell ref="Q11:T11"/>
    <mergeCell ref="U11:X11"/>
    <mergeCell ref="A13:L13"/>
    <mergeCell ref="M13:X13"/>
    <mergeCell ref="A14:L14"/>
    <mergeCell ref="M14:X14"/>
    <mergeCell ref="A15:L15"/>
    <mergeCell ref="M15:X15"/>
    <mergeCell ref="A16:L16"/>
    <mergeCell ref="M16:X16"/>
    <mergeCell ref="A17:L17"/>
    <mergeCell ref="M17:X17"/>
    <mergeCell ref="A18:L18"/>
    <mergeCell ref="M18:X18"/>
    <mergeCell ref="A20:L20"/>
    <mergeCell ref="M20:X20"/>
    <mergeCell ref="A40:L40"/>
    <mergeCell ref="M40:X40"/>
    <mergeCell ref="A60:L60"/>
    <mergeCell ref="M60:X60"/>
    <mergeCell ref="A80:L80"/>
    <mergeCell ref="M80:X80"/>
    <mergeCell ref="A100:L100"/>
    <mergeCell ref="M100:X100"/>
    <mergeCell ref="A120:L120"/>
    <mergeCell ref="M120:X120"/>
    <mergeCell ref="A140:L140"/>
    <mergeCell ref="M140:X140"/>
    <mergeCell ref="A141:B141"/>
    <mergeCell ref="C141:D141"/>
    <mergeCell ref="E141:F141"/>
    <mergeCell ref="G141:H141"/>
    <mergeCell ref="I141:J141"/>
    <mergeCell ref="K141:L141"/>
    <mergeCell ref="N141:Q141"/>
    <mergeCell ref="R141:S141"/>
    <mergeCell ref="T141:U141"/>
    <mergeCell ref="V141:W141"/>
    <mergeCell ref="A142:B142"/>
    <mergeCell ref="C142:D142"/>
    <mergeCell ref="E142:F142"/>
    <mergeCell ref="G142:H142"/>
    <mergeCell ref="I142:J142"/>
    <mergeCell ref="K142:L142"/>
    <mergeCell ref="N142:Q142"/>
    <mergeCell ref="R142:S142"/>
    <mergeCell ref="T142:U142"/>
    <mergeCell ref="V142:W142"/>
    <mergeCell ref="A143:B143"/>
    <mergeCell ref="C143:D143"/>
    <mergeCell ref="E143:F143"/>
    <mergeCell ref="G143:H143"/>
    <mergeCell ref="I143:J143"/>
    <mergeCell ref="K143:L143"/>
    <mergeCell ref="N143:Q143"/>
    <mergeCell ref="R143:S143"/>
    <mergeCell ref="T143:U143"/>
    <mergeCell ref="V143:W143"/>
    <mergeCell ref="A144:B144"/>
    <mergeCell ref="C144:D144"/>
    <mergeCell ref="E144:F144"/>
    <mergeCell ref="G144:H144"/>
    <mergeCell ref="I144:J144"/>
    <mergeCell ref="K144:L144"/>
    <mergeCell ref="N144:Q144"/>
    <mergeCell ref="R144:S144"/>
    <mergeCell ref="T144:U144"/>
    <mergeCell ref="V144:W144"/>
    <mergeCell ref="A145:B145"/>
    <mergeCell ref="C145:D145"/>
    <mergeCell ref="E145:F145"/>
    <mergeCell ref="G145:H145"/>
    <mergeCell ref="I145:J145"/>
    <mergeCell ref="K145:L145"/>
    <mergeCell ref="N145:Q145"/>
    <mergeCell ref="R145:S145"/>
    <mergeCell ref="T145:U145"/>
    <mergeCell ref="V145:W145"/>
    <mergeCell ref="A146:B146"/>
    <mergeCell ref="C146:D146"/>
    <mergeCell ref="E146:F146"/>
    <mergeCell ref="G146:H146"/>
    <mergeCell ref="I146:J146"/>
    <mergeCell ref="K146:L146"/>
    <mergeCell ref="N146:Q146"/>
    <mergeCell ref="R146:S146"/>
    <mergeCell ref="T146:U146"/>
    <mergeCell ref="V146:W146"/>
    <mergeCell ref="A149:X149"/>
    <mergeCell ref="A150:E150"/>
    <mergeCell ref="F150:G150"/>
    <mergeCell ref="H150:I150"/>
    <mergeCell ref="J150:K150"/>
    <mergeCell ref="L150:M150"/>
    <mergeCell ref="N150:O150"/>
    <mergeCell ref="P150:Q150"/>
    <mergeCell ref="R150:S150"/>
    <mergeCell ref="T150:U150"/>
    <mergeCell ref="V150:X150"/>
    <mergeCell ref="A151:E151"/>
    <mergeCell ref="F151:G151"/>
    <mergeCell ref="H151:I151"/>
    <mergeCell ref="J151:K151"/>
    <mergeCell ref="L151:M151"/>
    <mergeCell ref="N151:O151"/>
    <mergeCell ref="P151:Q151"/>
    <mergeCell ref="R151:S151"/>
    <mergeCell ref="T151:U151"/>
    <mergeCell ref="V151:X151"/>
    <mergeCell ref="A152:E152"/>
    <mergeCell ref="F152:G152"/>
    <mergeCell ref="H152:I152"/>
    <mergeCell ref="J152:K152"/>
    <mergeCell ref="L152:M152"/>
    <mergeCell ref="N152:O152"/>
    <mergeCell ref="P152:Q152"/>
    <mergeCell ref="R152:S152"/>
    <mergeCell ref="T152:U152"/>
    <mergeCell ref="V152:X152"/>
    <mergeCell ref="A153:E153"/>
    <mergeCell ref="F153:G153"/>
    <mergeCell ref="H153:I153"/>
    <mergeCell ref="J153:K153"/>
    <mergeCell ref="L153:M153"/>
    <mergeCell ref="N153:O153"/>
    <mergeCell ref="P153:Q153"/>
    <mergeCell ref="R153:S153"/>
    <mergeCell ref="T153:U153"/>
    <mergeCell ref="V153:X153"/>
    <mergeCell ref="A154:E154"/>
    <mergeCell ref="F154:G154"/>
    <mergeCell ref="H154:I154"/>
    <mergeCell ref="J154:K154"/>
    <mergeCell ref="L154:M154"/>
    <mergeCell ref="N154:O154"/>
    <mergeCell ref="P154:Q154"/>
    <mergeCell ref="R154:S154"/>
    <mergeCell ref="T154:U154"/>
    <mergeCell ref="V154:X154"/>
    <mergeCell ref="A155:E155"/>
    <mergeCell ref="F155:G155"/>
    <mergeCell ref="H155:I155"/>
    <mergeCell ref="J155:K155"/>
    <mergeCell ref="L155:M155"/>
    <mergeCell ref="N155:O155"/>
    <mergeCell ref="P155:Q155"/>
    <mergeCell ref="R155:S155"/>
    <mergeCell ref="T155:U155"/>
    <mergeCell ref="V155:X155"/>
    <mergeCell ref="A156:E156"/>
    <mergeCell ref="F156:G156"/>
    <mergeCell ref="H156:I156"/>
    <mergeCell ref="J156:K156"/>
    <mergeCell ref="L156:M156"/>
    <mergeCell ref="N156:O156"/>
    <mergeCell ref="P156:Q156"/>
    <mergeCell ref="R156:S156"/>
    <mergeCell ref="T156:U156"/>
    <mergeCell ref="V156:X156"/>
  </mergeCells>
  <conditionalFormatting sqref="U6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2">
      <formula>"RED"</formula>
    </cfRule>
  </conditionalFormatting>
  <conditionalFormatting sqref="E6">
    <cfRule type="cellIs" priority="5" operator="lessThan" aboveAverage="0" equalAverage="0" bottom="0" percent="0" rank="0" text="" dxfId="3">
      <formula>0.95</formula>
    </cfRule>
    <cfRule type="cellIs" priority="6" operator="greaterThanOrEqual" aboveAverage="0" equalAverage="0" bottom="0" percent="0" rank="0" text="" dxfId="4">
      <formula>0.95</formula>
    </cfRule>
  </conditionalFormatting>
  <conditionalFormatting sqref="I6">
    <cfRule type="cellIs" priority="7" operator="lessThan" aboveAverage="0" equalAverage="0" bottom="0" percent="0" rank="0" text="" dxfId="3">
      <formula>0.95</formula>
    </cfRule>
    <cfRule type="cellIs" priority="8" operator="greaterThanOrEqual" aboveAverage="0" equalAverage="0" bottom="0" percent="0" rank="0" text="" dxfId="4">
      <formula>0.95</formula>
    </cfRule>
  </conditionalFormatting>
  <conditionalFormatting sqref="M10">
    <cfRule type="cellIs" priority="9" operator="greaterThan" aboveAverage="0" equalAverage="0" bottom="0" percent="0" rank="0" text="" dxfId="3">
      <formula>0</formula>
    </cfRule>
  </conditionalFormatting>
  <conditionalFormatting sqref="U10">
    <cfRule type="cellIs" priority="10" operator="lessThan" aboveAverage="0" equalAverage="0" bottom="0" percent="0" rank="0" text="" dxfId="3">
      <formula>0</formula>
    </cfRule>
  </conditionalFormatting>
  <conditionalFormatting sqref="V142:W146">
    <cfRule type="cellIs" priority="11" operator="equal" aboveAverage="0" equalAverage="0" bottom="0" percent="0" rank="0" text="" dxfId="5">
      <formula>"Achieved"</formula>
    </cfRule>
    <cfRule type="cellIs" priority="12" operator="equal" aboveAverage="0" equalAverage="0" bottom="0" percent="0" rank="0" text="" dxfId="6">
      <formula>"At Risk"</formula>
    </cfRule>
    <cfRule type="cellIs" priority="13" operator="equal" aboveAverage="0" equalAverage="0" bottom="0" percent="0" rank="0" text="" dxfId="6">
      <formula>"Overdue"</formula>
    </cfRule>
    <cfRule type="cellIs" priority="14" operator="equal" aboveAverage="0" equalAverage="0" bottom="0" percent="0" rank="0" text="" dxfId="7">
      <formula>"On Track"</formula>
    </cfRule>
  </conditionalFormatting>
  <conditionalFormatting sqref="V151:X156">
    <cfRule type="cellIs" priority="15" operator="equal" aboveAverage="0" equalAverage="0" bottom="0" percent="0" rank="0" text="" dxfId="8">
      <formula>"Complete"</formula>
    </cfRule>
    <cfRule type="cellIs" priority="16" operator="equal" aboveAverage="0" equalAverage="0" bottom="0" percent="0" rank="0" text="" dxfId="9">
      <formula>"Overdue"</formula>
    </cfRule>
    <cfRule type="cellIs" priority="17" operator="equal" aboveAverage="0" equalAverage="0" bottom="0" percent="0" rank="0" text="" dxfId="9">
      <formula>"Behind"</formula>
    </cfRule>
    <cfRule type="cellIs" priority="18" operator="equal" aboveAverage="0" equalAverage="0" bottom="0" percent="0" rank="0" text="" dxfId="10">
      <formula>"In Progress"</formula>
    </cfRule>
    <cfRule type="cellIs" priority="19" operator="equal" aboveAverage="0" equalAverage="0" bottom="0" percent="0" rank="0" text="" dxfId="11">
      <formula>"Late Start"</formula>
    </cfRule>
  </conditionalFormatting>
  <conditionalFormatting sqref="P151:Q156">
    <cfRule type="cellIs" priority="20" operator="lessThan" aboveAverage="0" equalAverage="0" bottom="0" percent="0" rank="0" text="" dxfId="12">
      <formula>0.95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4D4E"/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50"/>
    <col collapsed="false" customWidth="true" hidden="false" outlineLevel="0" max="3" min="3" style="0" width="16"/>
    <col collapsed="false" customWidth="true" hidden="false" outlineLevel="0" max="4" min="4" style="0" width="44"/>
  </cols>
  <sheetData>
    <row r="1" customFormat="false" ht="25.5" hidden="false" customHeight="true" outlineLevel="0" collapsed="false">
      <c r="A1" s="43" t="s">
        <v>66</v>
      </c>
      <c r="B1" s="2"/>
      <c r="C1" s="2"/>
      <c r="D1" s="2"/>
    </row>
    <row r="2" customFormat="false" ht="15" hidden="false" customHeight="false" outlineLevel="0" collapsed="false">
      <c r="A2" s="4" t="s">
        <v>67</v>
      </c>
      <c r="B2" s="2"/>
      <c r="C2" s="2"/>
      <c r="D2" s="2"/>
    </row>
    <row r="4" customFormat="false" ht="15" hidden="false" customHeight="false" outlineLevel="0" collapsed="false">
      <c r="A4" s="44" t="s">
        <v>68</v>
      </c>
      <c r="B4" s="44" t="s">
        <v>69</v>
      </c>
      <c r="C4" s="44" t="s">
        <v>70</v>
      </c>
      <c r="D4" s="44" t="s">
        <v>71</v>
      </c>
    </row>
    <row r="5" customFormat="false" ht="15" hidden="false" customHeight="false" outlineLevel="0" collapsed="false">
      <c r="A5" s="45" t="s">
        <v>72</v>
      </c>
      <c r="B5" s="46" t="s">
        <v>73</v>
      </c>
      <c r="C5" s="47"/>
      <c r="D5" s="47"/>
    </row>
    <row r="6" customFormat="false" ht="15" hidden="false" customHeight="false" outlineLevel="0" collapsed="false">
      <c r="A6" s="45" t="s">
        <v>74</v>
      </c>
      <c r="B6" s="46" t="s">
        <v>75</v>
      </c>
      <c r="C6" s="47"/>
      <c r="D6" s="47"/>
    </row>
    <row r="7" customFormat="false" ht="15" hidden="false" customHeight="false" outlineLevel="0" collapsed="false">
      <c r="A7" s="45" t="s">
        <v>76</v>
      </c>
      <c r="B7" s="46" t="s">
        <v>77</v>
      </c>
      <c r="C7" s="47"/>
      <c r="D7" s="47"/>
    </row>
    <row r="8" customFormat="false" ht="15" hidden="false" customHeight="false" outlineLevel="0" collapsed="false">
      <c r="A8" s="45" t="s">
        <v>78</v>
      </c>
      <c r="B8" s="46" t="s">
        <v>79</v>
      </c>
      <c r="C8" s="47"/>
      <c r="D8" s="47"/>
    </row>
    <row r="9" customFormat="false" ht="15" hidden="false" customHeight="false" outlineLevel="0" collapsed="false">
      <c r="A9" s="45" t="s">
        <v>80</v>
      </c>
      <c r="B9" s="46" t="s">
        <v>81</v>
      </c>
      <c r="C9" s="47"/>
      <c r="D9" s="47"/>
    </row>
    <row r="10" customFormat="false" ht="15" hidden="false" customHeight="false" outlineLevel="0" collapsed="false">
      <c r="A10" s="45" t="s">
        <v>82</v>
      </c>
      <c r="B10" s="46" t="s">
        <v>83</v>
      </c>
      <c r="C10" s="47"/>
      <c r="D10" s="47"/>
    </row>
    <row r="11" customFormat="false" ht="15" hidden="false" customHeight="false" outlineLevel="0" collapsed="false">
      <c r="A11" s="45" t="s">
        <v>84</v>
      </c>
      <c r="B11" s="46" t="s">
        <v>85</v>
      </c>
      <c r="C11" s="47"/>
      <c r="D11" s="47"/>
    </row>
    <row r="12" customFormat="false" ht="15" hidden="false" customHeight="false" outlineLevel="0" collapsed="false">
      <c r="A12" s="45" t="s">
        <v>86</v>
      </c>
      <c r="B12" s="46" t="s">
        <v>87</v>
      </c>
      <c r="C12" s="47"/>
      <c r="D12" s="47"/>
    </row>
    <row r="13" customFormat="false" ht="15" hidden="false" customHeight="false" outlineLevel="0" collapsed="false">
      <c r="A13" s="45" t="s">
        <v>88</v>
      </c>
      <c r="B13" s="46" t="s">
        <v>89</v>
      </c>
      <c r="C13" s="47"/>
      <c r="D13" s="47"/>
    </row>
    <row r="14" customFormat="false" ht="15" hidden="false" customHeight="false" outlineLevel="0" collapsed="false">
      <c r="A14" s="45" t="s">
        <v>90</v>
      </c>
      <c r="B14" s="46" t="s">
        <v>91</v>
      </c>
      <c r="C14" s="47"/>
      <c r="D14" s="47"/>
    </row>
    <row r="15" customFormat="false" ht="15" hidden="false" customHeight="false" outlineLevel="0" collapsed="false">
      <c r="A15" s="45" t="s">
        <v>92</v>
      </c>
      <c r="B15" s="48" t="n">
        <v>46314</v>
      </c>
      <c r="C15" s="49" t="s">
        <v>93</v>
      </c>
      <c r="D15" s="50" t="s">
        <v>94</v>
      </c>
    </row>
    <row r="16" customFormat="false" ht="15" hidden="false" customHeight="false" outlineLevel="0" collapsed="false">
      <c r="A16" s="45" t="s">
        <v>95</v>
      </c>
      <c r="B16" s="48" t="n">
        <v>46402</v>
      </c>
      <c r="C16" s="49" t="s">
        <v>96</v>
      </c>
      <c r="D16" s="50" t="s">
        <v>97</v>
      </c>
    </row>
    <row r="17" customFormat="false" ht="15" hidden="false" customHeight="false" outlineLevel="0" collapsed="false">
      <c r="A17" s="45" t="s">
        <v>98</v>
      </c>
      <c r="B17" s="51" t="n">
        <v>0.32</v>
      </c>
      <c r="C17" s="49" t="s">
        <v>99</v>
      </c>
      <c r="D17" s="50" t="s">
        <v>100</v>
      </c>
    </row>
    <row r="18" customFormat="false" ht="15" hidden="false" customHeight="false" outlineLevel="0" collapsed="false">
      <c r="A18" s="45" t="s">
        <v>101</v>
      </c>
      <c r="B18" s="52" t="n">
        <v>0.1</v>
      </c>
      <c r="C18" s="49" t="s">
        <v>102</v>
      </c>
      <c r="D18" s="47"/>
    </row>
    <row r="19" customFormat="false" ht="15" hidden="false" customHeight="false" outlineLevel="0" collapsed="false">
      <c r="A19" s="45" t="s">
        <v>103</v>
      </c>
      <c r="B19" s="53" t="n">
        <v>14</v>
      </c>
      <c r="C19" s="49" t="s">
        <v>104</v>
      </c>
      <c r="D19" s="47"/>
    </row>
    <row r="20" customFormat="false" ht="15" hidden="false" customHeight="false" outlineLevel="0" collapsed="false">
      <c r="A20" s="45" t="s">
        <v>105</v>
      </c>
      <c r="B20" s="46" t="s">
        <v>106</v>
      </c>
      <c r="C20" s="47"/>
      <c r="D20" s="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0000"/>
    <pageSetUpPr fitToPage="true"/>
  </sheetPr>
  <dimension ref="A1:AP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7"/>
    <col collapsed="false" customWidth="true" hidden="false" outlineLevel="0" max="2" min="2" style="0" width="5"/>
    <col collapsed="false" customWidth="true" hidden="false" outlineLevel="0" max="3" min="3" style="0" width="50"/>
    <col collapsed="false" customWidth="true" hidden="false" outlineLevel="0" max="4" min="4" style="0" width="28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9" min="8" style="0" width="10"/>
    <col collapsed="false" customWidth="true" hidden="false" outlineLevel="0" max="12" min="10" style="0" width="9"/>
    <col collapsed="false" customWidth="true" hidden="false" outlineLevel="0" max="13" min="13" style="0" width="11"/>
    <col collapsed="false" customWidth="true" hidden="false" outlineLevel="0" max="14" min="14" style="0" width="6"/>
    <col collapsed="false" customWidth="true" hidden="false" outlineLevel="0" max="15" min="15" style="0" width="9"/>
    <col collapsed="false" customWidth="true" hidden="false" outlineLevel="0" max="19" min="16" style="0" width="10"/>
    <col collapsed="false" customWidth="true" hidden="false" outlineLevel="0" max="20" min="20" style="0" width="7"/>
    <col collapsed="false" customWidth="true" hidden="false" outlineLevel="0" max="21" min="21" style="0" width="40"/>
    <col collapsed="false" customWidth="true" hidden="false" outlineLevel="0" max="42" min="22" style="0" width="4.2"/>
  </cols>
  <sheetData>
    <row r="1" customFormat="false" ht="25.5" hidden="false" customHeight="true" outlineLevel="0" collapsed="false">
      <c r="A1" s="43" t="s">
        <v>107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customFormat="false" ht="15" hidden="false" customHeight="false" outlineLevel="0" collapsed="false">
      <c r="A2" s="4" t="s">
        <v>108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customFormat="false" ht="15" hidden="false" customHeight="false" outlineLevel="0" collapsed="false">
      <c r="A3" s="54" t="s">
        <v>109</v>
      </c>
      <c r="C3" s="55" t="n">
        <f aca="false">ProjectStart</f>
        <v>46314</v>
      </c>
      <c r="D3" s="54" t="s">
        <v>110</v>
      </c>
      <c r="E3" s="55" t="n">
        <f aca="false">StatusDate</f>
        <v>46402</v>
      </c>
    </row>
    <row r="4" customFormat="false" ht="15" hidden="false" customHeight="true" outlineLevel="0" collapsed="false">
      <c r="A4" s="56" t="s">
        <v>111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22" t="s">
        <v>112</v>
      </c>
      <c r="W4" s="22"/>
      <c r="X4" s="22"/>
      <c r="Y4" s="22"/>
      <c r="Z4" s="57" t="s">
        <v>113</v>
      </c>
      <c r="AA4" s="57"/>
      <c r="AB4" s="57"/>
      <c r="AC4" s="57"/>
      <c r="AD4" s="22" t="s">
        <v>114</v>
      </c>
      <c r="AE4" s="22"/>
      <c r="AF4" s="22"/>
      <c r="AG4" s="22"/>
      <c r="AH4" s="57" t="s">
        <v>115</v>
      </c>
      <c r="AI4" s="57"/>
      <c r="AJ4" s="57"/>
      <c r="AK4" s="57"/>
      <c r="AL4" s="22" t="s">
        <v>116</v>
      </c>
      <c r="AM4" s="22"/>
      <c r="AN4" s="22"/>
      <c r="AO4" s="22"/>
      <c r="AP4" s="58" t="s">
        <v>117</v>
      </c>
    </row>
    <row r="5" customFormat="false" ht="15" hidden="false" customHeight="false" outlineLevel="0" collapsed="false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9" t="s">
        <v>118</v>
      </c>
      <c r="W5" s="59" t="s">
        <v>119</v>
      </c>
      <c r="X5" s="59" t="s">
        <v>120</v>
      </c>
      <c r="Y5" s="59" t="s">
        <v>121</v>
      </c>
      <c r="Z5" s="59" t="s">
        <v>122</v>
      </c>
      <c r="AA5" s="59" t="s">
        <v>123</v>
      </c>
      <c r="AB5" s="59" t="s">
        <v>124</v>
      </c>
      <c r="AC5" s="59" t="s">
        <v>125</v>
      </c>
      <c r="AD5" s="59" t="s">
        <v>126</v>
      </c>
      <c r="AE5" s="59" t="s">
        <v>127</v>
      </c>
      <c r="AF5" s="59" t="s">
        <v>128</v>
      </c>
      <c r="AG5" s="59" t="s">
        <v>129</v>
      </c>
      <c r="AH5" s="59" t="s">
        <v>130</v>
      </c>
      <c r="AI5" s="59" t="s">
        <v>131</v>
      </c>
      <c r="AJ5" s="59" t="s">
        <v>132</v>
      </c>
      <c r="AK5" s="59" t="s">
        <v>133</v>
      </c>
      <c r="AL5" s="59" t="s">
        <v>134</v>
      </c>
      <c r="AM5" s="59" t="s">
        <v>135</v>
      </c>
      <c r="AN5" s="59" t="s">
        <v>136</v>
      </c>
      <c r="AO5" s="59" t="s">
        <v>137</v>
      </c>
      <c r="AP5" s="59" t="s">
        <v>138</v>
      </c>
    </row>
    <row r="6" customFormat="false" ht="51.75" hidden="false" customHeight="true" outlineLevel="0" collapsed="false">
      <c r="A6" s="44" t="s">
        <v>139</v>
      </c>
      <c r="B6" s="44" t="s">
        <v>140</v>
      </c>
      <c r="C6" s="44" t="s">
        <v>141</v>
      </c>
      <c r="D6" s="44" t="s">
        <v>142</v>
      </c>
      <c r="E6" s="44" t="s">
        <v>143</v>
      </c>
      <c r="F6" s="44" t="s">
        <v>144</v>
      </c>
      <c r="G6" s="44" t="s">
        <v>145</v>
      </c>
      <c r="H6" s="44" t="s">
        <v>51</v>
      </c>
      <c r="I6" s="44" t="s">
        <v>52</v>
      </c>
      <c r="J6" s="44" t="s">
        <v>57</v>
      </c>
      <c r="K6" s="44" t="s">
        <v>58</v>
      </c>
      <c r="L6" s="44" t="s">
        <v>146</v>
      </c>
      <c r="M6" s="44" t="s">
        <v>47</v>
      </c>
      <c r="N6" s="44" t="s">
        <v>147</v>
      </c>
      <c r="O6" s="44" t="s">
        <v>148</v>
      </c>
      <c r="P6" s="44" t="s">
        <v>149</v>
      </c>
      <c r="Q6" s="44" t="s">
        <v>150</v>
      </c>
      <c r="R6" s="44" t="s">
        <v>151</v>
      </c>
      <c r="S6" s="44" t="s">
        <v>152</v>
      </c>
      <c r="T6" s="44" t="s">
        <v>153</v>
      </c>
      <c r="U6" s="44" t="s">
        <v>154</v>
      </c>
      <c r="V6" s="60" t="n">
        <f aca="false">ProjectStart-WEEKDAY(ProjectStart,3)+0</f>
        <v>46314</v>
      </c>
      <c r="W6" s="60" t="n">
        <f aca="false">ProjectStart-WEEKDAY(ProjectStart,3)+7</f>
        <v>46321</v>
      </c>
      <c r="X6" s="60" t="n">
        <f aca="false">ProjectStart-WEEKDAY(ProjectStart,3)+14</f>
        <v>46328</v>
      </c>
      <c r="Y6" s="60" t="n">
        <f aca="false">ProjectStart-WEEKDAY(ProjectStart,3)+21</f>
        <v>46335</v>
      </c>
      <c r="Z6" s="60" t="n">
        <f aca="false">ProjectStart-WEEKDAY(ProjectStart,3)+28</f>
        <v>46342</v>
      </c>
      <c r="AA6" s="60" t="n">
        <f aca="false">ProjectStart-WEEKDAY(ProjectStart,3)+35</f>
        <v>46349</v>
      </c>
      <c r="AB6" s="60" t="n">
        <f aca="false">ProjectStart-WEEKDAY(ProjectStart,3)+42</f>
        <v>46356</v>
      </c>
      <c r="AC6" s="60" t="n">
        <f aca="false">ProjectStart-WEEKDAY(ProjectStart,3)+49</f>
        <v>46363</v>
      </c>
      <c r="AD6" s="60" t="n">
        <f aca="false">ProjectStart-WEEKDAY(ProjectStart,3)+56</f>
        <v>46370</v>
      </c>
      <c r="AE6" s="60" t="n">
        <f aca="false">ProjectStart-WEEKDAY(ProjectStart,3)+63</f>
        <v>46377</v>
      </c>
      <c r="AF6" s="60" t="n">
        <f aca="false">ProjectStart-WEEKDAY(ProjectStart,3)+70</f>
        <v>46384</v>
      </c>
      <c r="AG6" s="60" t="n">
        <f aca="false">ProjectStart-WEEKDAY(ProjectStart,3)+77</f>
        <v>46391</v>
      </c>
      <c r="AH6" s="60" t="n">
        <f aca="false">ProjectStart-WEEKDAY(ProjectStart,3)+84</f>
        <v>46398</v>
      </c>
      <c r="AI6" s="60" t="n">
        <f aca="false">ProjectStart-WEEKDAY(ProjectStart,3)+91</f>
        <v>46405</v>
      </c>
      <c r="AJ6" s="60" t="n">
        <f aca="false">ProjectStart-WEEKDAY(ProjectStart,3)+98</f>
        <v>46412</v>
      </c>
      <c r="AK6" s="60" t="n">
        <f aca="false">ProjectStart-WEEKDAY(ProjectStart,3)+105</f>
        <v>46419</v>
      </c>
      <c r="AL6" s="60" t="n">
        <f aca="false">ProjectStart-WEEKDAY(ProjectStart,3)+112</f>
        <v>46426</v>
      </c>
      <c r="AM6" s="60" t="n">
        <f aca="false">ProjectStart-WEEKDAY(ProjectStart,3)+119</f>
        <v>46433</v>
      </c>
      <c r="AN6" s="60" t="n">
        <f aca="false">ProjectStart-WEEKDAY(ProjectStart,3)+126</f>
        <v>46440</v>
      </c>
      <c r="AO6" s="60" t="n">
        <f aca="false">ProjectStart-WEEKDAY(ProjectStart,3)+133</f>
        <v>46447</v>
      </c>
      <c r="AP6" s="60" t="n">
        <f aca="false">ProjectStart-WEEKDAY(ProjectStart,3)+140</f>
        <v>46454</v>
      </c>
    </row>
    <row r="7" customFormat="false" ht="30" hidden="false" customHeight="true" outlineLevel="0" collapsed="false">
      <c r="A7" s="61" t="s">
        <v>155</v>
      </c>
      <c r="B7" s="62" t="n">
        <v>0</v>
      </c>
      <c r="C7" s="63" t="s">
        <v>156</v>
      </c>
      <c r="D7" s="63" t="s">
        <v>157</v>
      </c>
      <c r="E7" s="63" t="s">
        <v>158</v>
      </c>
      <c r="F7" s="62"/>
      <c r="G7" s="62" t="n">
        <f aca="false">NETWORKDAYS(H7,I7,Holidays)</f>
        <v>100</v>
      </c>
      <c r="H7" s="64" t="n">
        <f aca="false">MIN(H8:H68)</f>
        <v>46314</v>
      </c>
      <c r="I7" s="64" t="n">
        <f aca="false">MAX(I8:I68)</f>
        <v>46458</v>
      </c>
      <c r="J7" s="65" t="n">
        <f aca="false">IF(P7=0,0,Q7/P7)</f>
        <v>0.566666666666667</v>
      </c>
      <c r="K7" s="65" t="n">
        <f aca="false">IF(P7=0,0,R7/P7)</f>
        <v>0.534242424242424</v>
      </c>
      <c r="L7" s="66" t="n">
        <f aca="false">K7-J7</f>
        <v>-0.0324242424242425</v>
      </c>
      <c r="M7" s="62" t="str">
        <f aca="false">IF(K7&gt;=1,"Complete",IF(StatusDate&gt;I7,"Overdue",IF(K7&gt;0,IF(K7&lt;J7-0.1,"Behind","In Progress"),IF(StatusDate&gt;H7,"Late Start","Not Started"))))</f>
        <v>In Progress</v>
      </c>
      <c r="N7" s="62"/>
      <c r="O7" s="67" t="n">
        <f aca="false">O8+O20+O32+O44+O56</f>
        <v>330</v>
      </c>
      <c r="P7" s="68" t="n">
        <f aca="false">P8+P20+P32+P44+P56</f>
        <v>105.6</v>
      </c>
      <c r="Q7" s="68" t="n">
        <f aca="false">Q8+Q20+Q32+Q44+Q56</f>
        <v>59.84</v>
      </c>
      <c r="R7" s="68" t="n">
        <f aca="false">R8+R20+R32+R44+R56</f>
        <v>56.416</v>
      </c>
      <c r="S7" s="68" t="n">
        <f aca="false">S8+S20+S32+S44+S56</f>
        <v>58.62</v>
      </c>
      <c r="T7" s="62"/>
      <c r="U7" s="63" t="s">
        <v>159</v>
      </c>
      <c r="V7" s="69" t="n">
        <f aca="false">IF(AND($H7&lt;=V$6+6,$I7&gt;=V$6),1,"")</f>
        <v>1</v>
      </c>
      <c r="W7" s="69" t="n">
        <f aca="false">IF(AND($H7&lt;=W$6+6,$I7&gt;=W$6),1,"")</f>
        <v>1</v>
      </c>
      <c r="X7" s="69" t="n">
        <f aca="false">IF(AND($H7&lt;=X$6+6,$I7&gt;=X$6),1,"")</f>
        <v>1</v>
      </c>
      <c r="Y7" s="69" t="n">
        <f aca="false">IF(AND($H7&lt;=Y$6+6,$I7&gt;=Y$6),1,"")</f>
        <v>1</v>
      </c>
      <c r="Z7" s="69" t="n">
        <f aca="false">IF(AND($H7&lt;=Z$6+6,$I7&gt;=Z$6),1,"")</f>
        <v>1</v>
      </c>
      <c r="AA7" s="69" t="n">
        <f aca="false">IF(AND($H7&lt;=AA$6+6,$I7&gt;=AA$6),1,"")</f>
        <v>1</v>
      </c>
      <c r="AB7" s="69" t="n">
        <f aca="false">IF(AND($H7&lt;=AB$6+6,$I7&gt;=AB$6),1,"")</f>
        <v>1</v>
      </c>
      <c r="AC7" s="69" t="n">
        <f aca="false">IF(AND($H7&lt;=AC$6+6,$I7&gt;=AC$6),1,"")</f>
        <v>1</v>
      </c>
      <c r="AD7" s="69" t="n">
        <f aca="false">IF(AND($H7&lt;=AD$6+6,$I7&gt;=AD$6),1,"")</f>
        <v>1</v>
      </c>
      <c r="AE7" s="69" t="n">
        <f aca="false">IF(AND($H7&lt;=AE$6+6,$I7&gt;=AE$6),1,"")</f>
        <v>1</v>
      </c>
      <c r="AF7" s="69" t="n">
        <f aca="false">IF(AND($H7&lt;=AF$6+6,$I7&gt;=AF$6),1,"")</f>
        <v>1</v>
      </c>
      <c r="AG7" s="69" t="n">
        <f aca="false">IF(AND($H7&lt;=AG$6+6,$I7&gt;=AG$6),1,"")</f>
        <v>1</v>
      </c>
      <c r="AH7" s="69" t="n">
        <f aca="false">IF(AND($H7&lt;=AH$6+6,$I7&gt;=AH$6),1,"")</f>
        <v>1</v>
      </c>
      <c r="AI7" s="69" t="n">
        <f aca="false">IF(AND($H7&lt;=AI$6+6,$I7&gt;=AI$6),1,"")</f>
        <v>1</v>
      </c>
      <c r="AJ7" s="69" t="n">
        <f aca="false">IF(AND($H7&lt;=AJ$6+6,$I7&gt;=AJ$6),1,"")</f>
        <v>1</v>
      </c>
      <c r="AK7" s="69" t="n">
        <f aca="false">IF(AND($H7&lt;=AK$6+6,$I7&gt;=AK$6),1,"")</f>
        <v>1</v>
      </c>
      <c r="AL7" s="69" t="n">
        <f aca="false">IF(AND($H7&lt;=AL$6+6,$I7&gt;=AL$6),1,"")</f>
        <v>1</v>
      </c>
      <c r="AM7" s="69" t="n">
        <f aca="false">IF(AND($H7&lt;=AM$6+6,$I7&gt;=AM$6),1,"")</f>
        <v>1</v>
      </c>
      <c r="AN7" s="69" t="n">
        <f aca="false">IF(AND($H7&lt;=AN$6+6,$I7&gt;=AN$6),1,"")</f>
        <v>1</v>
      </c>
      <c r="AO7" s="69" t="n">
        <f aca="false">IF(AND($H7&lt;=AO$6+6,$I7&gt;=AO$6),1,"")</f>
        <v>1</v>
      </c>
      <c r="AP7" s="69" t="n">
        <f aca="false">IF(AND($H7&lt;=AP$6+6,$I7&gt;=AP$6),1,"")</f>
        <v>1</v>
      </c>
    </row>
    <row r="8" customFormat="false" ht="30" hidden="false" customHeight="true" outlineLevel="0" collapsed="false">
      <c r="A8" s="70" t="s">
        <v>160</v>
      </c>
      <c r="B8" s="71" t="n">
        <v>1</v>
      </c>
      <c r="C8" s="72" t="s">
        <v>161</v>
      </c>
      <c r="D8" s="72" t="s">
        <v>162</v>
      </c>
      <c r="E8" s="72" t="s">
        <v>163</v>
      </c>
      <c r="F8" s="71"/>
      <c r="G8" s="71" t="n">
        <f aca="false">NETWORKDAYS(H8,I8,Holidays)</f>
        <v>20</v>
      </c>
      <c r="H8" s="73" t="n">
        <f aca="false">MIN(H9:H19)</f>
        <v>46314</v>
      </c>
      <c r="I8" s="73" t="n">
        <f aca="false">MAX(I9:I19)</f>
        <v>46342</v>
      </c>
      <c r="J8" s="74" t="n">
        <f aca="false">IF(P8=0,0,Q8/P8)</f>
        <v>1</v>
      </c>
      <c r="K8" s="74" t="n">
        <f aca="false">IF(P8=0,0,R8/P8)</f>
        <v>1</v>
      </c>
      <c r="L8" s="75" t="n">
        <f aca="false">K8-J8</f>
        <v>0</v>
      </c>
      <c r="M8" s="71" t="str">
        <f aca="false">IF(K8&gt;=1,"Complete",IF(StatusDate&gt;I8,"Overdue",IF(K8&gt;0,IF(K8&lt;J8-0.1,"Behind","In Progress"),IF(StatusDate&gt;H8,"Late Start","Not Started"))))</f>
        <v>Complete</v>
      </c>
      <c r="N8" s="71" t="n">
        <f aca="false">MAX(N9:N19)</f>
        <v>3</v>
      </c>
      <c r="O8" s="76" t="n">
        <f aca="false">SUM(O9:O19)</f>
        <v>53</v>
      </c>
      <c r="P8" s="77" t="n">
        <f aca="false">SUM(P9:P19)</f>
        <v>16.96</v>
      </c>
      <c r="Q8" s="77" t="n">
        <f aca="false">SUM(Q9:Q19)</f>
        <v>16.96</v>
      </c>
      <c r="R8" s="77" t="n">
        <f aca="false">SUM(R9:R19)</f>
        <v>16.96</v>
      </c>
      <c r="S8" s="77" t="n">
        <f aca="false">SUM(S9:S19)</f>
        <v>16.26</v>
      </c>
      <c r="T8" s="71"/>
      <c r="U8" s="72" t="s">
        <v>164</v>
      </c>
      <c r="V8" s="69" t="n">
        <f aca="false">IF(AND($H8&lt;=V$6+6,$I8&gt;=V$6),1,"")</f>
        <v>1</v>
      </c>
      <c r="W8" s="69" t="n">
        <f aca="false">IF(AND($H8&lt;=W$6+6,$I8&gt;=W$6),1,"")</f>
        <v>1</v>
      </c>
      <c r="X8" s="69" t="n">
        <f aca="false">IF(AND($H8&lt;=X$6+6,$I8&gt;=X$6),1,"")</f>
        <v>1</v>
      </c>
      <c r="Y8" s="69" t="n">
        <f aca="false">IF(AND($H8&lt;=Y$6+6,$I8&gt;=Y$6),1,"")</f>
        <v>1</v>
      </c>
      <c r="Z8" s="69" t="n">
        <f aca="false">IF(AND($H8&lt;=Z$6+6,$I8&gt;=Z$6),1,"")</f>
        <v>1</v>
      </c>
      <c r="AA8" s="69" t="str">
        <f aca="false">IF(AND($H8&lt;=AA$6+6,$I8&gt;=AA$6),1,"")</f>
        <v/>
      </c>
      <c r="AB8" s="69" t="str">
        <f aca="false">IF(AND($H8&lt;=AB$6+6,$I8&gt;=AB$6),1,"")</f>
        <v/>
      </c>
      <c r="AC8" s="69" t="str">
        <f aca="false">IF(AND($H8&lt;=AC$6+6,$I8&gt;=AC$6),1,"")</f>
        <v/>
      </c>
      <c r="AD8" s="69" t="str">
        <f aca="false">IF(AND($H8&lt;=AD$6+6,$I8&gt;=AD$6),1,"")</f>
        <v/>
      </c>
      <c r="AE8" s="69" t="str">
        <f aca="false">IF(AND($H8&lt;=AE$6+6,$I8&gt;=AE$6),1,"")</f>
        <v/>
      </c>
      <c r="AF8" s="69" t="str">
        <f aca="false">IF(AND($H8&lt;=AF$6+6,$I8&gt;=AF$6),1,"")</f>
        <v/>
      </c>
      <c r="AG8" s="69" t="str">
        <f aca="false">IF(AND($H8&lt;=AG$6+6,$I8&gt;=AG$6),1,"")</f>
        <v/>
      </c>
      <c r="AH8" s="69" t="str">
        <f aca="false">IF(AND($H8&lt;=AH$6+6,$I8&gt;=AH$6),1,"")</f>
        <v/>
      </c>
      <c r="AI8" s="69" t="str">
        <f aca="false">IF(AND($H8&lt;=AI$6+6,$I8&gt;=AI$6),1,"")</f>
        <v/>
      </c>
      <c r="AJ8" s="69" t="str">
        <f aca="false">IF(AND($H8&lt;=AJ$6+6,$I8&gt;=AJ$6),1,"")</f>
        <v/>
      </c>
      <c r="AK8" s="69" t="str">
        <f aca="false">IF(AND($H8&lt;=AK$6+6,$I8&gt;=AK$6),1,"")</f>
        <v/>
      </c>
      <c r="AL8" s="69" t="str">
        <f aca="false">IF(AND($H8&lt;=AL$6+6,$I8&gt;=AL$6),1,"")</f>
        <v/>
      </c>
      <c r="AM8" s="69" t="str">
        <f aca="false">IF(AND($H8&lt;=AM$6+6,$I8&gt;=AM$6),1,"")</f>
        <v/>
      </c>
      <c r="AN8" s="69" t="str">
        <f aca="false">IF(AND($H8&lt;=AN$6+6,$I8&gt;=AN$6),1,"")</f>
        <v/>
      </c>
      <c r="AO8" s="69" t="str">
        <f aca="false">IF(AND($H8&lt;=AO$6+6,$I8&gt;=AO$6),1,"")</f>
        <v/>
      </c>
      <c r="AP8" s="69" t="str">
        <f aca="false">IF(AND($H8&lt;=AP$6+6,$I8&gt;=AP$6),1,"")</f>
        <v/>
      </c>
    </row>
    <row r="9" customFormat="false" ht="21.75" hidden="false" customHeight="true" outlineLevel="1" collapsed="false">
      <c r="A9" s="78" t="s">
        <v>165</v>
      </c>
      <c r="B9" s="79" t="n">
        <v>2</v>
      </c>
      <c r="C9" s="47" t="s">
        <v>166</v>
      </c>
      <c r="D9" s="47" t="s">
        <v>167</v>
      </c>
      <c r="E9" s="47" t="s">
        <v>163</v>
      </c>
      <c r="F9" s="79"/>
      <c r="G9" s="80" t="n">
        <v>2</v>
      </c>
      <c r="H9" s="81" t="n">
        <f aca="false">WORKDAY(ProjectStart-1,1,Holidays)</f>
        <v>46314</v>
      </c>
      <c r="I9" s="81" t="n">
        <f aca="false">WORKDAY(H9,G9-1,Holidays)</f>
        <v>46315</v>
      </c>
      <c r="J9" s="82" t="n">
        <f aca="false">IF(StatusDate&lt;H9,0,MIN(1,NETWORKDAYS(H9,StatusDate,Holidays)/G9))</f>
        <v>1</v>
      </c>
      <c r="K9" s="83" t="n">
        <v>1</v>
      </c>
      <c r="L9" s="84" t="n">
        <f aca="false">K9-J9</f>
        <v>0</v>
      </c>
      <c r="M9" s="79" t="str">
        <f aca="false">IF(K9&gt;=1,"Complete",IF(StatusDate&gt;I9,"Overdue",IF(K9&gt;0,IF(K9&lt;J9-0.1,"Behind","In Progress"),IF(StatusDate&gt;H9,"Late Start","Not Started"))))</f>
        <v>Complete</v>
      </c>
      <c r="N9" s="80" t="n">
        <v>3</v>
      </c>
      <c r="O9" s="85" t="n">
        <f aca="false">G9*N9</f>
        <v>6</v>
      </c>
      <c r="P9" s="86" t="n">
        <f aca="false">O9*BlendedRate</f>
        <v>1.92</v>
      </c>
      <c r="Q9" s="86" t="n">
        <f aca="false">P9*J9</f>
        <v>1.92</v>
      </c>
      <c r="R9" s="86" t="n">
        <f aca="false">P9*K9</f>
        <v>1.92</v>
      </c>
      <c r="S9" s="87" t="n">
        <v>1.84</v>
      </c>
      <c r="T9" s="79" t="str">
        <f aca="false">"S"&amp;(INT((H9-ProjectStart)/SprintLen)+1)</f>
        <v>S1</v>
      </c>
      <c r="U9" s="47"/>
      <c r="V9" s="69" t="n">
        <f aca="false">IF(AND($H9&lt;=V$6+6,$I9&gt;=V$6),1,"")</f>
        <v>1</v>
      </c>
      <c r="W9" s="69" t="str">
        <f aca="false">IF(AND($H9&lt;=W$6+6,$I9&gt;=W$6),1,"")</f>
        <v/>
      </c>
      <c r="X9" s="69" t="str">
        <f aca="false">IF(AND($H9&lt;=X$6+6,$I9&gt;=X$6),1,"")</f>
        <v/>
      </c>
      <c r="Y9" s="69" t="str">
        <f aca="false">IF(AND($H9&lt;=Y$6+6,$I9&gt;=Y$6),1,"")</f>
        <v/>
      </c>
      <c r="Z9" s="69" t="str">
        <f aca="false">IF(AND($H9&lt;=Z$6+6,$I9&gt;=Z$6),1,"")</f>
        <v/>
      </c>
      <c r="AA9" s="69" t="str">
        <f aca="false">IF(AND($H9&lt;=AA$6+6,$I9&gt;=AA$6),1,"")</f>
        <v/>
      </c>
      <c r="AB9" s="69" t="str">
        <f aca="false">IF(AND($H9&lt;=AB$6+6,$I9&gt;=AB$6),1,"")</f>
        <v/>
      </c>
      <c r="AC9" s="69" t="str">
        <f aca="false">IF(AND($H9&lt;=AC$6+6,$I9&gt;=AC$6),1,"")</f>
        <v/>
      </c>
      <c r="AD9" s="69" t="str">
        <f aca="false">IF(AND($H9&lt;=AD$6+6,$I9&gt;=AD$6),1,"")</f>
        <v/>
      </c>
      <c r="AE9" s="69" t="str">
        <f aca="false">IF(AND($H9&lt;=AE$6+6,$I9&gt;=AE$6),1,"")</f>
        <v/>
      </c>
      <c r="AF9" s="69" t="str">
        <f aca="false">IF(AND($H9&lt;=AF$6+6,$I9&gt;=AF$6),1,"")</f>
        <v/>
      </c>
      <c r="AG9" s="69" t="str">
        <f aca="false">IF(AND($H9&lt;=AG$6+6,$I9&gt;=AG$6),1,"")</f>
        <v/>
      </c>
      <c r="AH9" s="69" t="str">
        <f aca="false">IF(AND($H9&lt;=AH$6+6,$I9&gt;=AH$6),1,"")</f>
        <v/>
      </c>
      <c r="AI9" s="69" t="str">
        <f aca="false">IF(AND($H9&lt;=AI$6+6,$I9&gt;=AI$6),1,"")</f>
        <v/>
      </c>
      <c r="AJ9" s="69" t="str">
        <f aca="false">IF(AND($H9&lt;=AJ$6+6,$I9&gt;=AJ$6),1,"")</f>
        <v/>
      </c>
      <c r="AK9" s="69" t="str">
        <f aca="false">IF(AND($H9&lt;=AK$6+6,$I9&gt;=AK$6),1,"")</f>
        <v/>
      </c>
      <c r="AL9" s="69" t="str">
        <f aca="false">IF(AND($H9&lt;=AL$6+6,$I9&gt;=AL$6),1,"")</f>
        <v/>
      </c>
      <c r="AM9" s="69" t="str">
        <f aca="false">IF(AND($H9&lt;=AM$6+6,$I9&gt;=AM$6),1,"")</f>
        <v/>
      </c>
      <c r="AN9" s="69" t="str">
        <f aca="false">IF(AND($H9&lt;=AN$6+6,$I9&gt;=AN$6),1,"")</f>
        <v/>
      </c>
      <c r="AO9" s="69" t="str">
        <f aca="false">IF(AND($H9&lt;=AO$6+6,$I9&gt;=AO$6),1,"")</f>
        <v/>
      </c>
      <c r="AP9" s="69" t="str">
        <f aca="false">IF(AND($H9&lt;=AP$6+6,$I9&gt;=AP$6),1,"")</f>
        <v/>
      </c>
    </row>
    <row r="10" customFormat="false" ht="21.75" hidden="false" customHeight="true" outlineLevel="1" collapsed="false">
      <c r="A10" s="78" t="s">
        <v>168</v>
      </c>
      <c r="B10" s="79" t="n">
        <v>2</v>
      </c>
      <c r="C10" s="47" t="s">
        <v>169</v>
      </c>
      <c r="D10" s="47" t="s">
        <v>170</v>
      </c>
      <c r="E10" s="47" t="s">
        <v>171</v>
      </c>
      <c r="F10" s="79" t="s">
        <v>165</v>
      </c>
      <c r="G10" s="80" t="n">
        <v>2</v>
      </c>
      <c r="H10" s="81" t="n">
        <f aca="false">WORKDAY(MAX($I$9),1,Holidays)</f>
        <v>46316</v>
      </c>
      <c r="I10" s="81" t="n">
        <f aca="false">WORKDAY(H10,G10-1,Holidays)</f>
        <v>46317</v>
      </c>
      <c r="J10" s="82" t="n">
        <f aca="false">IF(StatusDate&lt;H10,0,MIN(1,NETWORKDAYS(H10,StatusDate,Holidays)/G10))</f>
        <v>1</v>
      </c>
      <c r="K10" s="83" t="n">
        <v>1</v>
      </c>
      <c r="L10" s="84" t="n">
        <f aca="false">K10-J10</f>
        <v>0</v>
      </c>
      <c r="M10" s="79" t="str">
        <f aca="false">IF(K10&gt;=1,"Complete",IF(StatusDate&gt;I10,"Overdue",IF(K10&gt;0,IF(K10&lt;J10-0.1,"Behind","In Progress"),IF(StatusDate&gt;H10,"Late Start","Not Started"))))</f>
        <v>Complete</v>
      </c>
      <c r="N10" s="80" t="n">
        <v>2</v>
      </c>
      <c r="O10" s="85" t="n">
        <f aca="false">G10*N10</f>
        <v>4</v>
      </c>
      <c r="P10" s="86" t="n">
        <f aca="false">O10*BlendedRate</f>
        <v>1.28</v>
      </c>
      <c r="Q10" s="86" t="n">
        <f aca="false">P10*J10</f>
        <v>1.28</v>
      </c>
      <c r="R10" s="86" t="n">
        <f aca="false">P10*K10</f>
        <v>1.28</v>
      </c>
      <c r="S10" s="87" t="n">
        <v>1.23</v>
      </c>
      <c r="T10" s="79" t="str">
        <f aca="false">"S"&amp;(INT((H10-ProjectStart)/SprintLen)+1)</f>
        <v>S1</v>
      </c>
      <c r="U10" s="47"/>
      <c r="V10" s="69" t="n">
        <f aca="false">IF(AND($H10&lt;=V$6+6,$I10&gt;=V$6),1,"")</f>
        <v>1</v>
      </c>
      <c r="W10" s="69" t="str">
        <f aca="false">IF(AND($H10&lt;=W$6+6,$I10&gt;=W$6),1,"")</f>
        <v/>
      </c>
      <c r="X10" s="69" t="str">
        <f aca="false">IF(AND($H10&lt;=X$6+6,$I10&gt;=X$6),1,"")</f>
        <v/>
      </c>
      <c r="Y10" s="69" t="str">
        <f aca="false">IF(AND($H10&lt;=Y$6+6,$I10&gt;=Y$6),1,"")</f>
        <v/>
      </c>
      <c r="Z10" s="69" t="str">
        <f aca="false">IF(AND($H10&lt;=Z$6+6,$I10&gt;=Z$6),1,"")</f>
        <v/>
      </c>
      <c r="AA10" s="69" t="str">
        <f aca="false">IF(AND($H10&lt;=AA$6+6,$I10&gt;=AA$6),1,"")</f>
        <v/>
      </c>
      <c r="AB10" s="69" t="str">
        <f aca="false">IF(AND($H10&lt;=AB$6+6,$I10&gt;=AB$6),1,"")</f>
        <v/>
      </c>
      <c r="AC10" s="69" t="str">
        <f aca="false">IF(AND($H10&lt;=AC$6+6,$I10&gt;=AC$6),1,"")</f>
        <v/>
      </c>
      <c r="AD10" s="69" t="str">
        <f aca="false">IF(AND($H10&lt;=AD$6+6,$I10&gt;=AD$6),1,"")</f>
        <v/>
      </c>
      <c r="AE10" s="69" t="str">
        <f aca="false">IF(AND($H10&lt;=AE$6+6,$I10&gt;=AE$6),1,"")</f>
        <v/>
      </c>
      <c r="AF10" s="69" t="str">
        <f aca="false">IF(AND($H10&lt;=AF$6+6,$I10&gt;=AF$6),1,"")</f>
        <v/>
      </c>
      <c r="AG10" s="69" t="str">
        <f aca="false">IF(AND($H10&lt;=AG$6+6,$I10&gt;=AG$6),1,"")</f>
        <v/>
      </c>
      <c r="AH10" s="69" t="str">
        <f aca="false">IF(AND($H10&lt;=AH$6+6,$I10&gt;=AH$6),1,"")</f>
        <v/>
      </c>
      <c r="AI10" s="69" t="str">
        <f aca="false">IF(AND($H10&lt;=AI$6+6,$I10&gt;=AI$6),1,"")</f>
        <v/>
      </c>
      <c r="AJ10" s="69" t="str">
        <f aca="false">IF(AND($H10&lt;=AJ$6+6,$I10&gt;=AJ$6),1,"")</f>
        <v/>
      </c>
      <c r="AK10" s="69" t="str">
        <f aca="false">IF(AND($H10&lt;=AK$6+6,$I10&gt;=AK$6),1,"")</f>
        <v/>
      </c>
      <c r="AL10" s="69" t="str">
        <f aca="false">IF(AND($H10&lt;=AL$6+6,$I10&gt;=AL$6),1,"")</f>
        <v/>
      </c>
      <c r="AM10" s="69" t="str">
        <f aca="false">IF(AND($H10&lt;=AM$6+6,$I10&gt;=AM$6),1,"")</f>
        <v/>
      </c>
      <c r="AN10" s="69" t="str">
        <f aca="false">IF(AND($H10&lt;=AN$6+6,$I10&gt;=AN$6),1,"")</f>
        <v/>
      </c>
      <c r="AO10" s="69" t="str">
        <f aca="false">IF(AND($H10&lt;=AO$6+6,$I10&gt;=AO$6),1,"")</f>
        <v/>
      </c>
      <c r="AP10" s="69" t="str">
        <f aca="false">IF(AND($H10&lt;=AP$6+6,$I10&gt;=AP$6),1,"")</f>
        <v/>
      </c>
    </row>
    <row r="11" customFormat="false" ht="21.75" hidden="false" customHeight="true" outlineLevel="1" collapsed="false">
      <c r="A11" s="78" t="s">
        <v>172</v>
      </c>
      <c r="B11" s="79" t="n">
        <v>2</v>
      </c>
      <c r="C11" s="47" t="s">
        <v>173</v>
      </c>
      <c r="D11" s="47" t="s">
        <v>174</v>
      </c>
      <c r="E11" s="47" t="s">
        <v>175</v>
      </c>
      <c r="F11" s="79" t="s">
        <v>165</v>
      </c>
      <c r="G11" s="80" t="n">
        <v>3</v>
      </c>
      <c r="H11" s="81" t="n">
        <f aca="false">WORKDAY(MAX($I$9),1,Holidays)</f>
        <v>46316</v>
      </c>
      <c r="I11" s="81" t="n">
        <f aca="false">WORKDAY(H11,G11-1,Holidays)</f>
        <v>46318</v>
      </c>
      <c r="J11" s="82" t="n">
        <f aca="false">IF(StatusDate&lt;H11,0,MIN(1,NETWORKDAYS(H11,StatusDate,Holidays)/G11))</f>
        <v>1</v>
      </c>
      <c r="K11" s="83" t="n">
        <v>1</v>
      </c>
      <c r="L11" s="84" t="n">
        <f aca="false">K11-J11</f>
        <v>0</v>
      </c>
      <c r="M11" s="79" t="str">
        <f aca="false">IF(K11&gt;=1,"Complete",IF(StatusDate&gt;I11,"Overdue",IF(K11&gt;0,IF(K11&lt;J11-0.1,"Behind","In Progress"),IF(StatusDate&gt;H11,"Late Start","Not Started"))))</f>
        <v>Complete</v>
      </c>
      <c r="N11" s="80" t="n">
        <v>3</v>
      </c>
      <c r="O11" s="85" t="n">
        <f aca="false">G11*N11</f>
        <v>9</v>
      </c>
      <c r="P11" s="86" t="n">
        <f aca="false">O11*BlendedRate</f>
        <v>2.88</v>
      </c>
      <c r="Q11" s="86" t="n">
        <f aca="false">P11*J11</f>
        <v>2.88</v>
      </c>
      <c r="R11" s="86" t="n">
        <f aca="false">P11*K11</f>
        <v>2.88</v>
      </c>
      <c r="S11" s="87" t="n">
        <v>2.76</v>
      </c>
      <c r="T11" s="79" t="str">
        <f aca="false">"S"&amp;(INT((H11-ProjectStart)/SprintLen)+1)</f>
        <v>S1</v>
      </c>
      <c r="U11" s="47"/>
      <c r="V11" s="69" t="n">
        <f aca="false">IF(AND($H11&lt;=V$6+6,$I11&gt;=V$6),1,"")</f>
        <v>1</v>
      </c>
      <c r="W11" s="69" t="str">
        <f aca="false">IF(AND($H11&lt;=W$6+6,$I11&gt;=W$6),1,"")</f>
        <v/>
      </c>
      <c r="X11" s="69" t="str">
        <f aca="false">IF(AND($H11&lt;=X$6+6,$I11&gt;=X$6),1,"")</f>
        <v/>
      </c>
      <c r="Y11" s="69" t="str">
        <f aca="false">IF(AND($H11&lt;=Y$6+6,$I11&gt;=Y$6),1,"")</f>
        <v/>
      </c>
      <c r="Z11" s="69" t="str">
        <f aca="false">IF(AND($H11&lt;=Z$6+6,$I11&gt;=Z$6),1,"")</f>
        <v/>
      </c>
      <c r="AA11" s="69" t="str">
        <f aca="false">IF(AND($H11&lt;=AA$6+6,$I11&gt;=AA$6),1,"")</f>
        <v/>
      </c>
      <c r="AB11" s="69" t="str">
        <f aca="false">IF(AND($H11&lt;=AB$6+6,$I11&gt;=AB$6),1,"")</f>
        <v/>
      </c>
      <c r="AC11" s="69" t="str">
        <f aca="false">IF(AND($H11&lt;=AC$6+6,$I11&gt;=AC$6),1,"")</f>
        <v/>
      </c>
      <c r="AD11" s="69" t="str">
        <f aca="false">IF(AND($H11&lt;=AD$6+6,$I11&gt;=AD$6),1,"")</f>
        <v/>
      </c>
      <c r="AE11" s="69" t="str">
        <f aca="false">IF(AND($H11&lt;=AE$6+6,$I11&gt;=AE$6),1,"")</f>
        <v/>
      </c>
      <c r="AF11" s="69" t="str">
        <f aca="false">IF(AND($H11&lt;=AF$6+6,$I11&gt;=AF$6),1,"")</f>
        <v/>
      </c>
      <c r="AG11" s="69" t="str">
        <f aca="false">IF(AND($H11&lt;=AG$6+6,$I11&gt;=AG$6),1,"")</f>
        <v/>
      </c>
      <c r="AH11" s="69" t="str">
        <f aca="false">IF(AND($H11&lt;=AH$6+6,$I11&gt;=AH$6),1,"")</f>
        <v/>
      </c>
      <c r="AI11" s="69" t="str">
        <f aca="false">IF(AND($H11&lt;=AI$6+6,$I11&gt;=AI$6),1,"")</f>
        <v/>
      </c>
      <c r="AJ11" s="69" t="str">
        <f aca="false">IF(AND($H11&lt;=AJ$6+6,$I11&gt;=AJ$6),1,"")</f>
        <v/>
      </c>
      <c r="AK11" s="69" t="str">
        <f aca="false">IF(AND($H11&lt;=AK$6+6,$I11&gt;=AK$6),1,"")</f>
        <v/>
      </c>
      <c r="AL11" s="69" t="str">
        <f aca="false">IF(AND($H11&lt;=AL$6+6,$I11&gt;=AL$6),1,"")</f>
        <v/>
      </c>
      <c r="AM11" s="69" t="str">
        <f aca="false">IF(AND($H11&lt;=AM$6+6,$I11&gt;=AM$6),1,"")</f>
        <v/>
      </c>
      <c r="AN11" s="69" t="str">
        <f aca="false">IF(AND($H11&lt;=AN$6+6,$I11&gt;=AN$6),1,"")</f>
        <v/>
      </c>
      <c r="AO11" s="69" t="str">
        <f aca="false">IF(AND($H11&lt;=AO$6+6,$I11&gt;=AO$6),1,"")</f>
        <v/>
      </c>
      <c r="AP11" s="69" t="str">
        <f aca="false">IF(AND($H11&lt;=AP$6+6,$I11&gt;=AP$6),1,"")</f>
        <v/>
      </c>
    </row>
    <row r="12" customFormat="false" ht="21.75" hidden="false" customHeight="true" outlineLevel="1" collapsed="false">
      <c r="A12" s="78" t="s">
        <v>176</v>
      </c>
      <c r="B12" s="79" t="n">
        <v>2</v>
      </c>
      <c r="C12" s="47" t="s">
        <v>177</v>
      </c>
      <c r="D12" s="47" t="s">
        <v>178</v>
      </c>
      <c r="E12" s="47" t="s">
        <v>171</v>
      </c>
      <c r="F12" s="79" t="s">
        <v>172</v>
      </c>
      <c r="G12" s="80" t="n">
        <v>3</v>
      </c>
      <c r="H12" s="81" t="n">
        <f aca="false">WORKDAY(MAX($I$11),1,Holidays)</f>
        <v>46321</v>
      </c>
      <c r="I12" s="81" t="n">
        <f aca="false">WORKDAY(H12,G12-1,Holidays)</f>
        <v>46323</v>
      </c>
      <c r="J12" s="82" t="n">
        <f aca="false">IF(StatusDate&lt;H12,0,MIN(1,NETWORKDAYS(H12,StatusDate,Holidays)/G12))</f>
        <v>1</v>
      </c>
      <c r="K12" s="83" t="n">
        <v>1</v>
      </c>
      <c r="L12" s="84" t="n">
        <f aca="false">K12-J12</f>
        <v>0</v>
      </c>
      <c r="M12" s="79" t="str">
        <f aca="false">IF(K12&gt;=1,"Complete",IF(StatusDate&gt;I12,"Overdue",IF(K12&gt;0,IF(K12&lt;J12-0.1,"Behind","In Progress"),IF(StatusDate&gt;H12,"Late Start","Not Started"))))</f>
        <v>Complete</v>
      </c>
      <c r="N12" s="80" t="n">
        <v>2</v>
      </c>
      <c r="O12" s="85" t="n">
        <f aca="false">G12*N12</f>
        <v>6</v>
      </c>
      <c r="P12" s="86" t="n">
        <f aca="false">O12*BlendedRate</f>
        <v>1.92</v>
      </c>
      <c r="Q12" s="86" t="n">
        <f aca="false">P12*J12</f>
        <v>1.92</v>
      </c>
      <c r="R12" s="86" t="n">
        <f aca="false">P12*K12</f>
        <v>1.92</v>
      </c>
      <c r="S12" s="87" t="n">
        <v>1.84</v>
      </c>
      <c r="T12" s="79" t="str">
        <f aca="false">"S"&amp;(INT((H12-ProjectStart)/SprintLen)+1)</f>
        <v>S1</v>
      </c>
      <c r="U12" s="47"/>
      <c r="V12" s="69" t="str">
        <f aca="false">IF(AND($H12&lt;=V$6+6,$I12&gt;=V$6),1,"")</f>
        <v/>
      </c>
      <c r="W12" s="69" t="n">
        <f aca="false">IF(AND($H12&lt;=W$6+6,$I12&gt;=W$6),1,"")</f>
        <v>1</v>
      </c>
      <c r="X12" s="69" t="str">
        <f aca="false">IF(AND($H12&lt;=X$6+6,$I12&gt;=X$6),1,"")</f>
        <v/>
      </c>
      <c r="Y12" s="69" t="str">
        <f aca="false">IF(AND($H12&lt;=Y$6+6,$I12&gt;=Y$6),1,"")</f>
        <v/>
      </c>
      <c r="Z12" s="69" t="str">
        <f aca="false">IF(AND($H12&lt;=Z$6+6,$I12&gt;=Z$6),1,"")</f>
        <v/>
      </c>
      <c r="AA12" s="69" t="str">
        <f aca="false">IF(AND($H12&lt;=AA$6+6,$I12&gt;=AA$6),1,"")</f>
        <v/>
      </c>
      <c r="AB12" s="69" t="str">
        <f aca="false">IF(AND($H12&lt;=AB$6+6,$I12&gt;=AB$6),1,"")</f>
        <v/>
      </c>
      <c r="AC12" s="69" t="str">
        <f aca="false">IF(AND($H12&lt;=AC$6+6,$I12&gt;=AC$6),1,"")</f>
        <v/>
      </c>
      <c r="AD12" s="69" t="str">
        <f aca="false">IF(AND($H12&lt;=AD$6+6,$I12&gt;=AD$6),1,"")</f>
        <v/>
      </c>
      <c r="AE12" s="69" t="str">
        <f aca="false">IF(AND($H12&lt;=AE$6+6,$I12&gt;=AE$6),1,"")</f>
        <v/>
      </c>
      <c r="AF12" s="69" t="str">
        <f aca="false">IF(AND($H12&lt;=AF$6+6,$I12&gt;=AF$6),1,"")</f>
        <v/>
      </c>
      <c r="AG12" s="69" t="str">
        <f aca="false">IF(AND($H12&lt;=AG$6+6,$I12&gt;=AG$6),1,"")</f>
        <v/>
      </c>
      <c r="AH12" s="69" t="str">
        <f aca="false">IF(AND($H12&lt;=AH$6+6,$I12&gt;=AH$6),1,"")</f>
        <v/>
      </c>
      <c r="AI12" s="69" t="str">
        <f aca="false">IF(AND($H12&lt;=AI$6+6,$I12&gt;=AI$6),1,"")</f>
        <v/>
      </c>
      <c r="AJ12" s="69" t="str">
        <f aca="false">IF(AND($H12&lt;=AJ$6+6,$I12&gt;=AJ$6),1,"")</f>
        <v/>
      </c>
      <c r="AK12" s="69" t="str">
        <f aca="false">IF(AND($H12&lt;=AK$6+6,$I12&gt;=AK$6),1,"")</f>
        <v/>
      </c>
      <c r="AL12" s="69" t="str">
        <f aca="false">IF(AND($H12&lt;=AL$6+6,$I12&gt;=AL$6),1,"")</f>
        <v/>
      </c>
      <c r="AM12" s="69" t="str">
        <f aca="false">IF(AND($H12&lt;=AM$6+6,$I12&gt;=AM$6),1,"")</f>
        <v/>
      </c>
      <c r="AN12" s="69" t="str">
        <f aca="false">IF(AND($H12&lt;=AN$6+6,$I12&gt;=AN$6),1,"")</f>
        <v/>
      </c>
      <c r="AO12" s="69" t="str">
        <f aca="false">IF(AND($H12&lt;=AO$6+6,$I12&gt;=AO$6),1,"")</f>
        <v/>
      </c>
      <c r="AP12" s="69" t="str">
        <f aca="false">IF(AND($H12&lt;=AP$6+6,$I12&gt;=AP$6),1,"")</f>
        <v/>
      </c>
    </row>
    <row r="13" customFormat="false" ht="21.75" hidden="false" customHeight="true" outlineLevel="1" collapsed="false">
      <c r="A13" s="78" t="s">
        <v>179</v>
      </c>
      <c r="B13" s="79" t="n">
        <v>2</v>
      </c>
      <c r="C13" s="47" t="s">
        <v>180</v>
      </c>
      <c r="D13" s="47" t="s">
        <v>181</v>
      </c>
      <c r="E13" s="47" t="s">
        <v>182</v>
      </c>
      <c r="F13" s="79" t="s">
        <v>172</v>
      </c>
      <c r="G13" s="80" t="n">
        <v>3</v>
      </c>
      <c r="H13" s="81" t="n">
        <f aca="false">WORKDAY(MAX($I$11),1,Holidays)</f>
        <v>46321</v>
      </c>
      <c r="I13" s="81" t="n">
        <f aca="false">WORKDAY(H13,G13-1,Holidays)</f>
        <v>46323</v>
      </c>
      <c r="J13" s="82" t="n">
        <f aca="false">IF(StatusDate&lt;H13,0,MIN(1,NETWORKDAYS(H13,StatusDate,Holidays)/G13))</f>
        <v>1</v>
      </c>
      <c r="K13" s="83" t="n">
        <v>1</v>
      </c>
      <c r="L13" s="84" t="n">
        <f aca="false">K13-J13</f>
        <v>0</v>
      </c>
      <c r="M13" s="79" t="str">
        <f aca="false">IF(K13&gt;=1,"Complete",IF(StatusDate&gt;I13,"Overdue",IF(K13&gt;0,IF(K13&lt;J13-0.1,"Behind","In Progress"),IF(StatusDate&gt;H13,"Late Start","Not Started"))))</f>
        <v>Complete</v>
      </c>
      <c r="N13" s="80" t="n">
        <v>2</v>
      </c>
      <c r="O13" s="85" t="n">
        <f aca="false">G13*N13</f>
        <v>6</v>
      </c>
      <c r="P13" s="86" t="n">
        <f aca="false">O13*BlendedRate</f>
        <v>1.92</v>
      </c>
      <c r="Q13" s="86" t="n">
        <f aca="false">P13*J13</f>
        <v>1.92</v>
      </c>
      <c r="R13" s="86" t="n">
        <f aca="false">P13*K13</f>
        <v>1.92</v>
      </c>
      <c r="S13" s="87" t="n">
        <v>1.84</v>
      </c>
      <c r="T13" s="79" t="str">
        <f aca="false">"S"&amp;(INT((H13-ProjectStart)/SprintLen)+1)</f>
        <v>S1</v>
      </c>
      <c r="U13" s="47"/>
      <c r="V13" s="69" t="str">
        <f aca="false">IF(AND($H13&lt;=V$6+6,$I13&gt;=V$6),1,"")</f>
        <v/>
      </c>
      <c r="W13" s="69" t="n">
        <f aca="false">IF(AND($H13&lt;=W$6+6,$I13&gt;=W$6),1,"")</f>
        <v>1</v>
      </c>
      <c r="X13" s="69" t="str">
        <f aca="false">IF(AND($H13&lt;=X$6+6,$I13&gt;=X$6),1,"")</f>
        <v/>
      </c>
      <c r="Y13" s="69" t="str">
        <f aca="false">IF(AND($H13&lt;=Y$6+6,$I13&gt;=Y$6),1,"")</f>
        <v/>
      </c>
      <c r="Z13" s="69" t="str">
        <f aca="false">IF(AND($H13&lt;=Z$6+6,$I13&gt;=Z$6),1,"")</f>
        <v/>
      </c>
      <c r="AA13" s="69" t="str">
        <f aca="false">IF(AND($H13&lt;=AA$6+6,$I13&gt;=AA$6),1,"")</f>
        <v/>
      </c>
      <c r="AB13" s="69" t="str">
        <f aca="false">IF(AND($H13&lt;=AB$6+6,$I13&gt;=AB$6),1,"")</f>
        <v/>
      </c>
      <c r="AC13" s="69" t="str">
        <f aca="false">IF(AND($H13&lt;=AC$6+6,$I13&gt;=AC$6),1,"")</f>
        <v/>
      </c>
      <c r="AD13" s="69" t="str">
        <f aca="false">IF(AND($H13&lt;=AD$6+6,$I13&gt;=AD$6),1,"")</f>
        <v/>
      </c>
      <c r="AE13" s="69" t="str">
        <f aca="false">IF(AND($H13&lt;=AE$6+6,$I13&gt;=AE$6),1,"")</f>
        <v/>
      </c>
      <c r="AF13" s="69" t="str">
        <f aca="false">IF(AND($H13&lt;=AF$6+6,$I13&gt;=AF$6),1,"")</f>
        <v/>
      </c>
      <c r="AG13" s="69" t="str">
        <f aca="false">IF(AND($H13&lt;=AG$6+6,$I13&gt;=AG$6),1,"")</f>
        <v/>
      </c>
      <c r="AH13" s="69" t="str">
        <f aca="false">IF(AND($H13&lt;=AH$6+6,$I13&gt;=AH$6),1,"")</f>
        <v/>
      </c>
      <c r="AI13" s="69" t="str">
        <f aca="false">IF(AND($H13&lt;=AI$6+6,$I13&gt;=AI$6),1,"")</f>
        <v/>
      </c>
      <c r="AJ13" s="69" t="str">
        <f aca="false">IF(AND($H13&lt;=AJ$6+6,$I13&gt;=AJ$6),1,"")</f>
        <v/>
      </c>
      <c r="AK13" s="69" t="str">
        <f aca="false">IF(AND($H13&lt;=AK$6+6,$I13&gt;=AK$6),1,"")</f>
        <v/>
      </c>
      <c r="AL13" s="69" t="str">
        <f aca="false">IF(AND($H13&lt;=AL$6+6,$I13&gt;=AL$6),1,"")</f>
        <v/>
      </c>
      <c r="AM13" s="69" t="str">
        <f aca="false">IF(AND($H13&lt;=AM$6+6,$I13&gt;=AM$6),1,"")</f>
        <v/>
      </c>
      <c r="AN13" s="69" t="str">
        <f aca="false">IF(AND($H13&lt;=AN$6+6,$I13&gt;=AN$6),1,"")</f>
        <v/>
      </c>
      <c r="AO13" s="69" t="str">
        <f aca="false">IF(AND($H13&lt;=AO$6+6,$I13&gt;=AO$6),1,"")</f>
        <v/>
      </c>
      <c r="AP13" s="69" t="str">
        <f aca="false">IF(AND($H13&lt;=AP$6+6,$I13&gt;=AP$6),1,"")</f>
        <v/>
      </c>
    </row>
    <row r="14" customFormat="false" ht="21.75" hidden="false" customHeight="true" outlineLevel="1" collapsed="false">
      <c r="A14" s="78" t="s">
        <v>183</v>
      </c>
      <c r="B14" s="79" t="n">
        <v>2</v>
      </c>
      <c r="C14" s="47" t="s">
        <v>184</v>
      </c>
      <c r="D14" s="47" t="s">
        <v>185</v>
      </c>
      <c r="E14" s="47" t="s">
        <v>186</v>
      </c>
      <c r="F14" s="79" t="s">
        <v>179</v>
      </c>
      <c r="G14" s="80" t="n">
        <v>3</v>
      </c>
      <c r="H14" s="81" t="n">
        <f aca="false">WORKDAY(MAX($I$13),1,Holidays)</f>
        <v>46324</v>
      </c>
      <c r="I14" s="81" t="n">
        <f aca="false">WORKDAY(H14,G14-1,Holidays)</f>
        <v>46328</v>
      </c>
      <c r="J14" s="82" t="n">
        <f aca="false">IF(StatusDate&lt;H14,0,MIN(1,NETWORKDAYS(H14,StatusDate,Holidays)/G14))</f>
        <v>1</v>
      </c>
      <c r="K14" s="83" t="n">
        <v>1</v>
      </c>
      <c r="L14" s="84" t="n">
        <f aca="false">K14-J14</f>
        <v>0</v>
      </c>
      <c r="M14" s="79" t="str">
        <f aca="false">IF(K14&gt;=1,"Complete",IF(StatusDate&gt;I14,"Overdue",IF(K14&gt;0,IF(K14&lt;J14-0.1,"Behind","In Progress"),IF(StatusDate&gt;H14,"Late Start","Not Started"))))</f>
        <v>Complete</v>
      </c>
      <c r="N14" s="80" t="n">
        <v>2</v>
      </c>
      <c r="O14" s="85" t="n">
        <f aca="false">G14*N14</f>
        <v>6</v>
      </c>
      <c r="P14" s="86" t="n">
        <f aca="false">O14*BlendedRate</f>
        <v>1.92</v>
      </c>
      <c r="Q14" s="86" t="n">
        <f aca="false">P14*J14</f>
        <v>1.92</v>
      </c>
      <c r="R14" s="86" t="n">
        <f aca="false">P14*K14</f>
        <v>1.92</v>
      </c>
      <c r="S14" s="87" t="n">
        <v>1.84</v>
      </c>
      <c r="T14" s="79" t="str">
        <f aca="false">"S"&amp;(INT((H14-ProjectStart)/SprintLen)+1)</f>
        <v>S1</v>
      </c>
      <c r="U14" s="47"/>
      <c r="V14" s="69" t="str">
        <f aca="false">IF(AND($H14&lt;=V$6+6,$I14&gt;=V$6),1,"")</f>
        <v/>
      </c>
      <c r="W14" s="69" t="n">
        <f aca="false">IF(AND($H14&lt;=W$6+6,$I14&gt;=W$6),1,"")</f>
        <v>1</v>
      </c>
      <c r="X14" s="69" t="n">
        <f aca="false">IF(AND($H14&lt;=X$6+6,$I14&gt;=X$6),1,"")</f>
        <v>1</v>
      </c>
      <c r="Y14" s="69" t="str">
        <f aca="false">IF(AND($H14&lt;=Y$6+6,$I14&gt;=Y$6),1,"")</f>
        <v/>
      </c>
      <c r="Z14" s="69" t="str">
        <f aca="false">IF(AND($H14&lt;=Z$6+6,$I14&gt;=Z$6),1,"")</f>
        <v/>
      </c>
      <c r="AA14" s="69" t="str">
        <f aca="false">IF(AND($H14&lt;=AA$6+6,$I14&gt;=AA$6),1,"")</f>
        <v/>
      </c>
      <c r="AB14" s="69" t="str">
        <f aca="false">IF(AND($H14&lt;=AB$6+6,$I14&gt;=AB$6),1,"")</f>
        <v/>
      </c>
      <c r="AC14" s="69" t="str">
        <f aca="false">IF(AND($H14&lt;=AC$6+6,$I14&gt;=AC$6),1,"")</f>
        <v/>
      </c>
      <c r="AD14" s="69" t="str">
        <f aca="false">IF(AND($H14&lt;=AD$6+6,$I14&gt;=AD$6),1,"")</f>
        <v/>
      </c>
      <c r="AE14" s="69" t="str">
        <f aca="false">IF(AND($H14&lt;=AE$6+6,$I14&gt;=AE$6),1,"")</f>
        <v/>
      </c>
      <c r="AF14" s="69" t="str">
        <f aca="false">IF(AND($H14&lt;=AF$6+6,$I14&gt;=AF$6),1,"")</f>
        <v/>
      </c>
      <c r="AG14" s="69" t="str">
        <f aca="false">IF(AND($H14&lt;=AG$6+6,$I14&gt;=AG$6),1,"")</f>
        <v/>
      </c>
      <c r="AH14" s="69" t="str">
        <f aca="false">IF(AND($H14&lt;=AH$6+6,$I14&gt;=AH$6),1,"")</f>
        <v/>
      </c>
      <c r="AI14" s="69" t="str">
        <f aca="false">IF(AND($H14&lt;=AI$6+6,$I14&gt;=AI$6),1,"")</f>
        <v/>
      </c>
      <c r="AJ14" s="69" t="str">
        <f aca="false">IF(AND($H14&lt;=AJ$6+6,$I14&gt;=AJ$6),1,"")</f>
        <v/>
      </c>
      <c r="AK14" s="69" t="str">
        <f aca="false">IF(AND($H14&lt;=AK$6+6,$I14&gt;=AK$6),1,"")</f>
        <v/>
      </c>
      <c r="AL14" s="69" t="str">
        <f aca="false">IF(AND($H14&lt;=AL$6+6,$I14&gt;=AL$6),1,"")</f>
        <v/>
      </c>
      <c r="AM14" s="69" t="str">
        <f aca="false">IF(AND($H14&lt;=AM$6+6,$I14&gt;=AM$6),1,"")</f>
        <v/>
      </c>
      <c r="AN14" s="69" t="str">
        <f aca="false">IF(AND($H14&lt;=AN$6+6,$I14&gt;=AN$6),1,"")</f>
        <v/>
      </c>
      <c r="AO14" s="69" t="str">
        <f aca="false">IF(AND($H14&lt;=AO$6+6,$I14&gt;=AO$6),1,"")</f>
        <v/>
      </c>
      <c r="AP14" s="69" t="str">
        <f aca="false">IF(AND($H14&lt;=AP$6+6,$I14&gt;=AP$6),1,"")</f>
        <v/>
      </c>
    </row>
    <row r="15" customFormat="false" ht="21.75" hidden="false" customHeight="true" outlineLevel="1" collapsed="false">
      <c r="A15" s="78" t="s">
        <v>187</v>
      </c>
      <c r="B15" s="79" t="n">
        <v>2</v>
      </c>
      <c r="C15" s="47" t="s">
        <v>188</v>
      </c>
      <c r="D15" s="47" t="s">
        <v>189</v>
      </c>
      <c r="E15" s="47" t="s">
        <v>190</v>
      </c>
      <c r="F15" s="79" t="s">
        <v>176</v>
      </c>
      <c r="G15" s="80" t="n">
        <v>3</v>
      </c>
      <c r="H15" s="81" t="n">
        <f aca="false">WORKDAY(MAX($I$12),1,Holidays)</f>
        <v>46324</v>
      </c>
      <c r="I15" s="81" t="n">
        <f aca="false">WORKDAY(H15,G15-1,Holidays)</f>
        <v>46328</v>
      </c>
      <c r="J15" s="82" t="n">
        <f aca="false">IF(StatusDate&lt;H15,0,MIN(1,NETWORKDAYS(H15,StatusDate,Holidays)/G15))</f>
        <v>1</v>
      </c>
      <c r="K15" s="83" t="n">
        <v>1</v>
      </c>
      <c r="L15" s="84" t="n">
        <f aca="false">K15-J15</f>
        <v>0</v>
      </c>
      <c r="M15" s="79" t="str">
        <f aca="false">IF(K15&gt;=1,"Complete",IF(StatusDate&gt;I15,"Overdue",IF(K15&gt;0,IF(K15&lt;J15-0.1,"Behind","In Progress"),IF(StatusDate&gt;H15,"Late Start","Not Started"))))</f>
        <v>Complete</v>
      </c>
      <c r="N15" s="80" t="n">
        <v>2</v>
      </c>
      <c r="O15" s="85" t="n">
        <f aca="false">G15*N15</f>
        <v>6</v>
      </c>
      <c r="P15" s="86" t="n">
        <f aca="false">O15*BlendedRate</f>
        <v>1.92</v>
      </c>
      <c r="Q15" s="86" t="n">
        <f aca="false">P15*J15</f>
        <v>1.92</v>
      </c>
      <c r="R15" s="86" t="n">
        <f aca="false">P15*K15</f>
        <v>1.92</v>
      </c>
      <c r="S15" s="87" t="n">
        <v>1.84</v>
      </c>
      <c r="T15" s="79" t="str">
        <f aca="false">"S"&amp;(INT((H15-ProjectStart)/SprintLen)+1)</f>
        <v>S1</v>
      </c>
      <c r="U15" s="47"/>
      <c r="V15" s="69" t="str">
        <f aca="false">IF(AND($H15&lt;=V$6+6,$I15&gt;=V$6),1,"")</f>
        <v/>
      </c>
      <c r="W15" s="69" t="n">
        <f aca="false">IF(AND($H15&lt;=W$6+6,$I15&gt;=W$6),1,"")</f>
        <v>1</v>
      </c>
      <c r="X15" s="69" t="n">
        <f aca="false">IF(AND($H15&lt;=X$6+6,$I15&gt;=X$6),1,"")</f>
        <v>1</v>
      </c>
      <c r="Y15" s="69" t="str">
        <f aca="false">IF(AND($H15&lt;=Y$6+6,$I15&gt;=Y$6),1,"")</f>
        <v/>
      </c>
      <c r="Z15" s="69" t="str">
        <f aca="false">IF(AND($H15&lt;=Z$6+6,$I15&gt;=Z$6),1,"")</f>
        <v/>
      </c>
      <c r="AA15" s="69" t="str">
        <f aca="false">IF(AND($H15&lt;=AA$6+6,$I15&gt;=AA$6),1,"")</f>
        <v/>
      </c>
      <c r="AB15" s="69" t="str">
        <f aca="false">IF(AND($H15&lt;=AB$6+6,$I15&gt;=AB$6),1,"")</f>
        <v/>
      </c>
      <c r="AC15" s="69" t="str">
        <f aca="false">IF(AND($H15&lt;=AC$6+6,$I15&gt;=AC$6),1,"")</f>
        <v/>
      </c>
      <c r="AD15" s="69" t="str">
        <f aca="false">IF(AND($H15&lt;=AD$6+6,$I15&gt;=AD$6),1,"")</f>
        <v/>
      </c>
      <c r="AE15" s="69" t="str">
        <f aca="false">IF(AND($H15&lt;=AE$6+6,$I15&gt;=AE$6),1,"")</f>
        <v/>
      </c>
      <c r="AF15" s="69" t="str">
        <f aca="false">IF(AND($H15&lt;=AF$6+6,$I15&gt;=AF$6),1,"")</f>
        <v/>
      </c>
      <c r="AG15" s="69" t="str">
        <f aca="false">IF(AND($H15&lt;=AG$6+6,$I15&gt;=AG$6),1,"")</f>
        <v/>
      </c>
      <c r="AH15" s="69" t="str">
        <f aca="false">IF(AND($H15&lt;=AH$6+6,$I15&gt;=AH$6),1,"")</f>
        <v/>
      </c>
      <c r="AI15" s="69" t="str">
        <f aca="false">IF(AND($H15&lt;=AI$6+6,$I15&gt;=AI$6),1,"")</f>
        <v/>
      </c>
      <c r="AJ15" s="69" t="str">
        <f aca="false">IF(AND($H15&lt;=AJ$6+6,$I15&gt;=AJ$6),1,"")</f>
        <v/>
      </c>
      <c r="AK15" s="69" t="str">
        <f aca="false">IF(AND($H15&lt;=AK$6+6,$I15&gt;=AK$6),1,"")</f>
        <v/>
      </c>
      <c r="AL15" s="69" t="str">
        <f aca="false">IF(AND($H15&lt;=AL$6+6,$I15&gt;=AL$6),1,"")</f>
        <v/>
      </c>
      <c r="AM15" s="69" t="str">
        <f aca="false">IF(AND($H15&lt;=AM$6+6,$I15&gt;=AM$6),1,"")</f>
        <v/>
      </c>
      <c r="AN15" s="69" t="str">
        <f aca="false">IF(AND($H15&lt;=AN$6+6,$I15&gt;=AN$6),1,"")</f>
        <v/>
      </c>
      <c r="AO15" s="69" t="str">
        <f aca="false">IF(AND($H15&lt;=AO$6+6,$I15&gt;=AO$6),1,"")</f>
        <v/>
      </c>
      <c r="AP15" s="69" t="str">
        <f aca="false">IF(AND($H15&lt;=AP$6+6,$I15&gt;=AP$6),1,"")</f>
        <v/>
      </c>
    </row>
    <row r="16" customFormat="false" ht="21.75" hidden="false" customHeight="true" outlineLevel="1" collapsed="false">
      <c r="A16" s="78" t="s">
        <v>191</v>
      </c>
      <c r="B16" s="79" t="n">
        <v>2</v>
      </c>
      <c r="C16" s="47" t="s">
        <v>192</v>
      </c>
      <c r="D16" s="47" t="s">
        <v>193</v>
      </c>
      <c r="E16" s="47" t="s">
        <v>190</v>
      </c>
      <c r="F16" s="79" t="s">
        <v>194</v>
      </c>
      <c r="G16" s="80" t="n">
        <v>2</v>
      </c>
      <c r="H16" s="81" t="n">
        <f aca="false">WORKDAY(MAX($I$15,$I$14),1,Holidays)</f>
        <v>46329</v>
      </c>
      <c r="I16" s="81" t="n">
        <f aca="false">WORKDAY(H16,G16-1,Holidays)</f>
        <v>46330</v>
      </c>
      <c r="J16" s="82" t="n">
        <f aca="false">IF(StatusDate&lt;H16,0,MIN(1,NETWORKDAYS(H16,StatusDate,Holidays)/G16))</f>
        <v>1</v>
      </c>
      <c r="K16" s="83" t="n">
        <v>1</v>
      </c>
      <c r="L16" s="84" t="n">
        <f aca="false">K16-J16</f>
        <v>0</v>
      </c>
      <c r="M16" s="79" t="str">
        <f aca="false">IF(K16&gt;=1,"Complete",IF(StatusDate&gt;I16,"Overdue",IF(K16&gt;0,IF(K16&lt;J16-0.1,"Behind","In Progress"),IF(StatusDate&gt;H16,"Late Start","Not Started"))))</f>
        <v>Complete</v>
      </c>
      <c r="N16" s="80" t="n">
        <v>2</v>
      </c>
      <c r="O16" s="85" t="n">
        <f aca="false">G16*N16</f>
        <v>4</v>
      </c>
      <c r="P16" s="86" t="n">
        <f aca="false">O16*BlendedRate</f>
        <v>1.28</v>
      </c>
      <c r="Q16" s="86" t="n">
        <f aca="false">P16*J16</f>
        <v>1.28</v>
      </c>
      <c r="R16" s="86" t="n">
        <f aca="false">P16*K16</f>
        <v>1.28</v>
      </c>
      <c r="S16" s="87" t="n">
        <v>1.23</v>
      </c>
      <c r="T16" s="79" t="str">
        <f aca="false">"S"&amp;(INT((H16-ProjectStart)/SprintLen)+1)</f>
        <v>S2</v>
      </c>
      <c r="U16" s="47"/>
      <c r="V16" s="69" t="str">
        <f aca="false">IF(AND($H16&lt;=V$6+6,$I16&gt;=V$6),1,"")</f>
        <v/>
      </c>
      <c r="W16" s="69" t="str">
        <f aca="false">IF(AND($H16&lt;=W$6+6,$I16&gt;=W$6),1,"")</f>
        <v/>
      </c>
      <c r="X16" s="69" t="n">
        <f aca="false">IF(AND($H16&lt;=X$6+6,$I16&gt;=X$6),1,"")</f>
        <v>1</v>
      </c>
      <c r="Y16" s="69" t="str">
        <f aca="false">IF(AND($H16&lt;=Y$6+6,$I16&gt;=Y$6),1,"")</f>
        <v/>
      </c>
      <c r="Z16" s="69" t="str">
        <f aca="false">IF(AND($H16&lt;=Z$6+6,$I16&gt;=Z$6),1,"")</f>
        <v/>
      </c>
      <c r="AA16" s="69" t="str">
        <f aca="false">IF(AND($H16&lt;=AA$6+6,$I16&gt;=AA$6),1,"")</f>
        <v/>
      </c>
      <c r="AB16" s="69" t="str">
        <f aca="false">IF(AND($H16&lt;=AB$6+6,$I16&gt;=AB$6),1,"")</f>
        <v/>
      </c>
      <c r="AC16" s="69" t="str">
        <f aca="false">IF(AND($H16&lt;=AC$6+6,$I16&gt;=AC$6),1,"")</f>
        <v/>
      </c>
      <c r="AD16" s="69" t="str">
        <f aca="false">IF(AND($H16&lt;=AD$6+6,$I16&gt;=AD$6),1,"")</f>
        <v/>
      </c>
      <c r="AE16" s="69" t="str">
        <f aca="false">IF(AND($H16&lt;=AE$6+6,$I16&gt;=AE$6),1,"")</f>
        <v/>
      </c>
      <c r="AF16" s="69" t="str">
        <f aca="false">IF(AND($H16&lt;=AF$6+6,$I16&gt;=AF$6),1,"")</f>
        <v/>
      </c>
      <c r="AG16" s="69" t="str">
        <f aca="false">IF(AND($H16&lt;=AG$6+6,$I16&gt;=AG$6),1,"")</f>
        <v/>
      </c>
      <c r="AH16" s="69" t="str">
        <f aca="false">IF(AND($H16&lt;=AH$6+6,$I16&gt;=AH$6),1,"")</f>
        <v/>
      </c>
      <c r="AI16" s="69" t="str">
        <f aca="false">IF(AND($H16&lt;=AI$6+6,$I16&gt;=AI$6),1,"")</f>
        <v/>
      </c>
      <c r="AJ16" s="69" t="str">
        <f aca="false">IF(AND($H16&lt;=AJ$6+6,$I16&gt;=AJ$6),1,"")</f>
        <v/>
      </c>
      <c r="AK16" s="69" t="str">
        <f aca="false">IF(AND($H16&lt;=AK$6+6,$I16&gt;=AK$6),1,"")</f>
        <v/>
      </c>
      <c r="AL16" s="69" t="str">
        <f aca="false">IF(AND($H16&lt;=AL$6+6,$I16&gt;=AL$6),1,"")</f>
        <v/>
      </c>
      <c r="AM16" s="69" t="str">
        <f aca="false">IF(AND($H16&lt;=AM$6+6,$I16&gt;=AM$6),1,"")</f>
        <v/>
      </c>
      <c r="AN16" s="69" t="str">
        <f aca="false">IF(AND($H16&lt;=AN$6+6,$I16&gt;=AN$6),1,"")</f>
        <v/>
      </c>
      <c r="AO16" s="69" t="str">
        <f aca="false">IF(AND($H16&lt;=AO$6+6,$I16&gt;=AO$6),1,"")</f>
        <v/>
      </c>
      <c r="AP16" s="69" t="str">
        <f aca="false">IF(AND($H16&lt;=AP$6+6,$I16&gt;=AP$6),1,"")</f>
        <v/>
      </c>
    </row>
    <row r="17" customFormat="false" ht="21.75" hidden="false" customHeight="true" outlineLevel="1" collapsed="false">
      <c r="A17" s="78" t="s">
        <v>195</v>
      </c>
      <c r="B17" s="79" t="n">
        <v>2</v>
      </c>
      <c r="C17" s="47" t="s">
        <v>196</v>
      </c>
      <c r="D17" s="47" t="s">
        <v>197</v>
      </c>
      <c r="E17" s="47" t="s">
        <v>198</v>
      </c>
      <c r="F17" s="79" t="s">
        <v>187</v>
      </c>
      <c r="G17" s="80" t="n">
        <v>2</v>
      </c>
      <c r="H17" s="81" t="n">
        <f aca="false">WORKDAY(MAX($I$15),1,Holidays)</f>
        <v>46329</v>
      </c>
      <c r="I17" s="81" t="n">
        <f aca="false">WORKDAY(H17,G17-1,Holidays)</f>
        <v>46330</v>
      </c>
      <c r="J17" s="82" t="n">
        <f aca="false">IF(StatusDate&lt;H17,0,MIN(1,NETWORKDAYS(H17,StatusDate,Holidays)/G17))</f>
        <v>1</v>
      </c>
      <c r="K17" s="83" t="n">
        <v>1</v>
      </c>
      <c r="L17" s="84" t="n">
        <f aca="false">K17-J17</f>
        <v>0</v>
      </c>
      <c r="M17" s="79" t="str">
        <f aca="false">IF(K17&gt;=1,"Complete",IF(StatusDate&gt;I17,"Overdue",IF(K17&gt;0,IF(K17&lt;J17-0.1,"Behind","In Progress"),IF(StatusDate&gt;H17,"Late Start","Not Started"))))</f>
        <v>Complete</v>
      </c>
      <c r="N17" s="80" t="n">
        <v>1</v>
      </c>
      <c r="O17" s="85" t="n">
        <f aca="false">G17*N17</f>
        <v>2</v>
      </c>
      <c r="P17" s="86" t="n">
        <f aca="false">O17*BlendedRate</f>
        <v>0.64</v>
      </c>
      <c r="Q17" s="86" t="n">
        <f aca="false">P17*J17</f>
        <v>0.64</v>
      </c>
      <c r="R17" s="86" t="n">
        <f aca="false">P17*K17</f>
        <v>0.64</v>
      </c>
      <c r="S17" s="87" t="n">
        <v>0.61</v>
      </c>
      <c r="T17" s="79" t="str">
        <f aca="false">"S"&amp;(INT((H17-ProjectStart)/SprintLen)+1)</f>
        <v>S2</v>
      </c>
      <c r="U17" s="47"/>
      <c r="V17" s="69" t="str">
        <f aca="false">IF(AND($H17&lt;=V$6+6,$I17&gt;=V$6),1,"")</f>
        <v/>
      </c>
      <c r="W17" s="69" t="str">
        <f aca="false">IF(AND($H17&lt;=W$6+6,$I17&gt;=W$6),1,"")</f>
        <v/>
      </c>
      <c r="X17" s="69" t="n">
        <f aca="false">IF(AND($H17&lt;=X$6+6,$I17&gt;=X$6),1,"")</f>
        <v>1</v>
      </c>
      <c r="Y17" s="69" t="str">
        <f aca="false">IF(AND($H17&lt;=Y$6+6,$I17&gt;=Y$6),1,"")</f>
        <v/>
      </c>
      <c r="Z17" s="69" t="str">
        <f aca="false">IF(AND($H17&lt;=Z$6+6,$I17&gt;=Z$6),1,"")</f>
        <v/>
      </c>
      <c r="AA17" s="69" t="str">
        <f aca="false">IF(AND($H17&lt;=AA$6+6,$I17&gt;=AA$6),1,"")</f>
        <v/>
      </c>
      <c r="AB17" s="69" t="str">
        <f aca="false">IF(AND($H17&lt;=AB$6+6,$I17&gt;=AB$6),1,"")</f>
        <v/>
      </c>
      <c r="AC17" s="69" t="str">
        <f aca="false">IF(AND($H17&lt;=AC$6+6,$I17&gt;=AC$6),1,"")</f>
        <v/>
      </c>
      <c r="AD17" s="69" t="str">
        <f aca="false">IF(AND($H17&lt;=AD$6+6,$I17&gt;=AD$6),1,"")</f>
        <v/>
      </c>
      <c r="AE17" s="69" t="str">
        <f aca="false">IF(AND($H17&lt;=AE$6+6,$I17&gt;=AE$6),1,"")</f>
        <v/>
      </c>
      <c r="AF17" s="69" t="str">
        <f aca="false">IF(AND($H17&lt;=AF$6+6,$I17&gt;=AF$6),1,"")</f>
        <v/>
      </c>
      <c r="AG17" s="69" t="str">
        <f aca="false">IF(AND($H17&lt;=AG$6+6,$I17&gt;=AG$6),1,"")</f>
        <v/>
      </c>
      <c r="AH17" s="69" t="str">
        <f aca="false">IF(AND($H17&lt;=AH$6+6,$I17&gt;=AH$6),1,"")</f>
        <v/>
      </c>
      <c r="AI17" s="69" t="str">
        <f aca="false">IF(AND($H17&lt;=AI$6+6,$I17&gt;=AI$6),1,"")</f>
        <v/>
      </c>
      <c r="AJ17" s="69" t="str">
        <f aca="false">IF(AND($H17&lt;=AJ$6+6,$I17&gt;=AJ$6),1,"")</f>
        <v/>
      </c>
      <c r="AK17" s="69" t="str">
        <f aca="false">IF(AND($H17&lt;=AK$6+6,$I17&gt;=AK$6),1,"")</f>
        <v/>
      </c>
      <c r="AL17" s="69" t="str">
        <f aca="false">IF(AND($H17&lt;=AL$6+6,$I17&gt;=AL$6),1,"")</f>
        <v/>
      </c>
      <c r="AM17" s="69" t="str">
        <f aca="false">IF(AND($H17&lt;=AM$6+6,$I17&gt;=AM$6),1,"")</f>
        <v/>
      </c>
      <c r="AN17" s="69" t="str">
        <f aca="false">IF(AND($H17&lt;=AN$6+6,$I17&gt;=AN$6),1,"")</f>
        <v/>
      </c>
      <c r="AO17" s="69" t="str">
        <f aca="false">IF(AND($H17&lt;=AO$6+6,$I17&gt;=AO$6),1,"")</f>
        <v/>
      </c>
      <c r="AP17" s="69" t="str">
        <f aca="false">IF(AND($H17&lt;=AP$6+6,$I17&gt;=AP$6),1,"")</f>
        <v/>
      </c>
    </row>
    <row r="18" customFormat="false" ht="21.75" hidden="false" customHeight="true" outlineLevel="1" collapsed="false">
      <c r="A18" s="78" t="s">
        <v>199</v>
      </c>
      <c r="B18" s="79" t="n">
        <v>2</v>
      </c>
      <c r="C18" s="47" t="s">
        <v>200</v>
      </c>
      <c r="D18" s="47" t="s">
        <v>201</v>
      </c>
      <c r="E18" s="47" t="s">
        <v>163</v>
      </c>
      <c r="F18" s="79" t="s">
        <v>202</v>
      </c>
      <c r="G18" s="80" t="n">
        <v>2</v>
      </c>
      <c r="H18" s="81" t="n">
        <f aca="false">WORKDAY(MAX($I$16,$I$17),1,Holidays)</f>
        <v>46331</v>
      </c>
      <c r="I18" s="81" t="n">
        <f aca="false">WORKDAY(H18,G18-1,Holidays)</f>
        <v>46332</v>
      </c>
      <c r="J18" s="82" t="n">
        <f aca="false">IF(StatusDate&lt;H18,0,MIN(1,NETWORKDAYS(H18,StatusDate,Holidays)/G18))</f>
        <v>1</v>
      </c>
      <c r="K18" s="83" t="n">
        <v>1</v>
      </c>
      <c r="L18" s="84" t="n">
        <f aca="false">K18-J18</f>
        <v>0</v>
      </c>
      <c r="M18" s="79" t="str">
        <f aca="false">IF(K18&gt;=1,"Complete",IF(StatusDate&gt;I18,"Overdue",IF(K18&gt;0,IF(K18&lt;J18-0.1,"Behind","In Progress"),IF(StatusDate&gt;H18,"Late Start","Not Started"))))</f>
        <v>Complete</v>
      </c>
      <c r="N18" s="80" t="n">
        <v>2</v>
      </c>
      <c r="O18" s="85" t="n">
        <f aca="false">G18*N18</f>
        <v>4</v>
      </c>
      <c r="P18" s="86" t="n">
        <f aca="false">O18*BlendedRate</f>
        <v>1.28</v>
      </c>
      <c r="Q18" s="86" t="n">
        <f aca="false">P18*J18</f>
        <v>1.28</v>
      </c>
      <c r="R18" s="86" t="n">
        <f aca="false">P18*K18</f>
        <v>1.28</v>
      </c>
      <c r="S18" s="87" t="n">
        <v>1.23</v>
      </c>
      <c r="T18" s="79" t="str">
        <f aca="false">"S"&amp;(INT((H18-ProjectStart)/SprintLen)+1)</f>
        <v>S2</v>
      </c>
      <c r="U18" s="47"/>
      <c r="V18" s="69" t="str">
        <f aca="false">IF(AND($H18&lt;=V$6+6,$I18&gt;=V$6),1,"")</f>
        <v/>
      </c>
      <c r="W18" s="69" t="str">
        <f aca="false">IF(AND($H18&lt;=W$6+6,$I18&gt;=W$6),1,"")</f>
        <v/>
      </c>
      <c r="X18" s="69" t="n">
        <f aca="false">IF(AND($H18&lt;=X$6+6,$I18&gt;=X$6),1,"")</f>
        <v>1</v>
      </c>
      <c r="Y18" s="69" t="str">
        <f aca="false">IF(AND($H18&lt;=Y$6+6,$I18&gt;=Y$6),1,"")</f>
        <v/>
      </c>
      <c r="Z18" s="69" t="str">
        <f aca="false">IF(AND($H18&lt;=Z$6+6,$I18&gt;=Z$6),1,"")</f>
        <v/>
      </c>
      <c r="AA18" s="69" t="str">
        <f aca="false">IF(AND($H18&lt;=AA$6+6,$I18&gt;=AA$6),1,"")</f>
        <v/>
      </c>
      <c r="AB18" s="69" t="str">
        <f aca="false">IF(AND($H18&lt;=AB$6+6,$I18&gt;=AB$6),1,"")</f>
        <v/>
      </c>
      <c r="AC18" s="69" t="str">
        <f aca="false">IF(AND($H18&lt;=AC$6+6,$I18&gt;=AC$6),1,"")</f>
        <v/>
      </c>
      <c r="AD18" s="69" t="str">
        <f aca="false">IF(AND($H18&lt;=AD$6+6,$I18&gt;=AD$6),1,"")</f>
        <v/>
      </c>
      <c r="AE18" s="69" t="str">
        <f aca="false">IF(AND($H18&lt;=AE$6+6,$I18&gt;=AE$6),1,"")</f>
        <v/>
      </c>
      <c r="AF18" s="69" t="str">
        <f aca="false">IF(AND($H18&lt;=AF$6+6,$I18&gt;=AF$6),1,"")</f>
        <v/>
      </c>
      <c r="AG18" s="69" t="str">
        <f aca="false">IF(AND($H18&lt;=AG$6+6,$I18&gt;=AG$6),1,"")</f>
        <v/>
      </c>
      <c r="AH18" s="69" t="str">
        <f aca="false">IF(AND($H18&lt;=AH$6+6,$I18&gt;=AH$6),1,"")</f>
        <v/>
      </c>
      <c r="AI18" s="69" t="str">
        <f aca="false">IF(AND($H18&lt;=AI$6+6,$I18&gt;=AI$6),1,"")</f>
        <v/>
      </c>
      <c r="AJ18" s="69" t="str">
        <f aca="false">IF(AND($H18&lt;=AJ$6+6,$I18&gt;=AJ$6),1,"")</f>
        <v/>
      </c>
      <c r="AK18" s="69" t="str">
        <f aca="false">IF(AND($H18&lt;=AK$6+6,$I18&gt;=AK$6),1,"")</f>
        <v/>
      </c>
      <c r="AL18" s="69" t="str">
        <f aca="false">IF(AND($H18&lt;=AL$6+6,$I18&gt;=AL$6),1,"")</f>
        <v/>
      </c>
      <c r="AM18" s="69" t="str">
        <f aca="false">IF(AND($H18&lt;=AM$6+6,$I18&gt;=AM$6),1,"")</f>
        <v/>
      </c>
      <c r="AN18" s="69" t="str">
        <f aca="false">IF(AND($H18&lt;=AN$6+6,$I18&gt;=AN$6),1,"")</f>
        <v/>
      </c>
      <c r="AO18" s="69" t="str">
        <f aca="false">IF(AND($H18&lt;=AO$6+6,$I18&gt;=AO$6),1,"")</f>
        <v/>
      </c>
      <c r="AP18" s="69" t="str">
        <f aca="false">IF(AND($H18&lt;=AP$6+6,$I18&gt;=AP$6),1,"")</f>
        <v/>
      </c>
    </row>
    <row r="19" customFormat="false" ht="21.75" hidden="false" customHeight="true" outlineLevel="1" collapsed="false">
      <c r="A19" s="88" t="s">
        <v>203</v>
      </c>
      <c r="B19" s="89" t="n">
        <v>2</v>
      </c>
      <c r="C19" s="90" t="s">
        <v>204</v>
      </c>
      <c r="D19" s="91" t="s">
        <v>205</v>
      </c>
      <c r="E19" s="91" t="s">
        <v>206</v>
      </c>
      <c r="F19" s="89" t="s">
        <v>207</v>
      </c>
      <c r="G19" s="89" t="n">
        <v>0</v>
      </c>
      <c r="H19" s="92" t="n">
        <f aca="false">I19</f>
        <v>46342</v>
      </c>
      <c r="I19" s="92" t="n">
        <f aca="false">WORKDAY(ProjectStart-1,20,Holidays)</f>
        <v>46342</v>
      </c>
      <c r="J19" s="93" t="n">
        <f aca="false">IF(StatusDate&gt;=I19,1,0)</f>
        <v>1</v>
      </c>
      <c r="K19" s="94" t="n">
        <v>1</v>
      </c>
      <c r="L19" s="95" t="n">
        <f aca="false">K19-J19</f>
        <v>0</v>
      </c>
      <c r="M19" s="89" t="str">
        <f aca="false">IF(K19&gt;=1,"Complete",IF(StatusDate&gt;I19,"Overdue",IF(K19&gt;0,IF(K19&lt;J19-0.1,"Behind","In Progress"),IF(StatusDate&gt;H19,"Late Start","Not Started"))))</f>
        <v>Complete</v>
      </c>
      <c r="N19" s="89"/>
      <c r="O19" s="96"/>
      <c r="P19" s="97"/>
      <c r="Q19" s="97"/>
      <c r="R19" s="97"/>
      <c r="S19" s="97"/>
      <c r="T19" s="89" t="str">
        <f aca="false">"S"&amp;(INT((H19-ProjectStart)/SprintLen)+1)</f>
        <v>S3</v>
      </c>
      <c r="U19" s="91" t="s">
        <v>208</v>
      </c>
      <c r="V19" s="98" t="str">
        <f aca="false">IF(AND($I19&gt;=V$6,$I19&lt;=V$6+6),"◆","")</f>
        <v/>
      </c>
      <c r="W19" s="98" t="str">
        <f aca="false">IF(AND($I19&gt;=W$6,$I19&lt;=W$6+6),"◆","")</f>
        <v/>
      </c>
      <c r="X19" s="98" t="str">
        <f aca="false">IF(AND($I19&gt;=X$6,$I19&lt;=X$6+6),"◆","")</f>
        <v/>
      </c>
      <c r="Y19" s="98" t="str">
        <f aca="false">IF(AND($I19&gt;=Y$6,$I19&lt;=Y$6+6),"◆","")</f>
        <v/>
      </c>
      <c r="Z19" s="98" t="str">
        <f aca="false">IF(AND($I19&gt;=Z$6,$I19&lt;=Z$6+6),"◆","")</f>
        <v>◆</v>
      </c>
      <c r="AA19" s="98" t="str">
        <f aca="false">IF(AND($I19&gt;=AA$6,$I19&lt;=AA$6+6),"◆","")</f>
        <v/>
      </c>
      <c r="AB19" s="98" t="str">
        <f aca="false">IF(AND($I19&gt;=AB$6,$I19&lt;=AB$6+6),"◆","")</f>
        <v/>
      </c>
      <c r="AC19" s="98" t="str">
        <f aca="false">IF(AND($I19&gt;=AC$6,$I19&lt;=AC$6+6),"◆","")</f>
        <v/>
      </c>
      <c r="AD19" s="98" t="str">
        <f aca="false">IF(AND($I19&gt;=AD$6,$I19&lt;=AD$6+6),"◆","")</f>
        <v/>
      </c>
      <c r="AE19" s="98" t="str">
        <f aca="false">IF(AND($I19&gt;=AE$6,$I19&lt;=AE$6+6),"◆","")</f>
        <v/>
      </c>
      <c r="AF19" s="98" t="str">
        <f aca="false">IF(AND($I19&gt;=AF$6,$I19&lt;=AF$6+6),"◆","")</f>
        <v/>
      </c>
      <c r="AG19" s="98" t="str">
        <f aca="false">IF(AND($I19&gt;=AG$6,$I19&lt;=AG$6+6),"◆","")</f>
        <v/>
      </c>
      <c r="AH19" s="98" t="str">
        <f aca="false">IF(AND($I19&gt;=AH$6,$I19&lt;=AH$6+6),"◆","")</f>
        <v/>
      </c>
      <c r="AI19" s="98" t="str">
        <f aca="false">IF(AND($I19&gt;=AI$6,$I19&lt;=AI$6+6),"◆","")</f>
        <v/>
      </c>
      <c r="AJ19" s="98" t="str">
        <f aca="false">IF(AND($I19&gt;=AJ$6,$I19&lt;=AJ$6+6),"◆","")</f>
        <v/>
      </c>
      <c r="AK19" s="98" t="str">
        <f aca="false">IF(AND($I19&gt;=AK$6,$I19&lt;=AK$6+6),"◆","")</f>
        <v/>
      </c>
      <c r="AL19" s="98" t="str">
        <f aca="false">IF(AND($I19&gt;=AL$6,$I19&lt;=AL$6+6),"◆","")</f>
        <v/>
      </c>
      <c r="AM19" s="98" t="str">
        <f aca="false">IF(AND($I19&gt;=AM$6,$I19&lt;=AM$6+6),"◆","")</f>
        <v/>
      </c>
      <c r="AN19" s="98" t="str">
        <f aca="false">IF(AND($I19&gt;=AN$6,$I19&lt;=AN$6+6),"◆","")</f>
        <v/>
      </c>
      <c r="AO19" s="98" t="str">
        <f aca="false">IF(AND($I19&gt;=AO$6,$I19&lt;=AO$6+6),"◆","")</f>
        <v/>
      </c>
      <c r="AP19" s="98" t="str">
        <f aca="false">IF(AND($I19&gt;=AP$6,$I19&lt;=AP$6+6),"◆","")</f>
        <v/>
      </c>
    </row>
    <row r="20" customFormat="false" ht="30" hidden="false" customHeight="true" outlineLevel="0" collapsed="false">
      <c r="A20" s="70" t="s">
        <v>209</v>
      </c>
      <c r="B20" s="71" t="n">
        <v>1</v>
      </c>
      <c r="C20" s="72" t="s">
        <v>210</v>
      </c>
      <c r="D20" s="72" t="s">
        <v>211</v>
      </c>
      <c r="E20" s="72" t="s">
        <v>163</v>
      </c>
      <c r="F20" s="71"/>
      <c r="G20" s="71" t="n">
        <f aca="false">NETWORKDAYS(H20,I20,Holidays)</f>
        <v>20</v>
      </c>
      <c r="H20" s="73" t="n">
        <f aca="false">MIN(H21:H31)</f>
        <v>46343</v>
      </c>
      <c r="I20" s="73" t="n">
        <f aca="false">MAX(I21:I31)</f>
        <v>46371</v>
      </c>
      <c r="J20" s="74" t="n">
        <f aca="false">IF(P20=0,0,Q20/P20)</f>
        <v>1</v>
      </c>
      <c r="K20" s="74" t="n">
        <f aca="false">IF(P20=0,0,R20/P20)</f>
        <v>1</v>
      </c>
      <c r="L20" s="75" t="n">
        <f aca="false">K20-J20</f>
        <v>0</v>
      </c>
      <c r="M20" s="71" t="str">
        <f aca="false">IF(K20&gt;=1,"Complete",IF(StatusDate&gt;I20,"Overdue",IF(K20&gt;0,IF(K20&lt;J20-0.1,"Behind","In Progress"),IF(StatusDate&gt;H20,"Late Start","Not Started"))))</f>
        <v>Complete</v>
      </c>
      <c r="N20" s="71" t="n">
        <f aca="false">MAX(N21:N31)</f>
        <v>3</v>
      </c>
      <c r="O20" s="76" t="n">
        <f aca="false">SUM(O21:O31)</f>
        <v>54</v>
      </c>
      <c r="P20" s="77" t="n">
        <f aca="false">SUM(P21:P31)</f>
        <v>17.28</v>
      </c>
      <c r="Q20" s="77" t="n">
        <f aca="false">SUM(Q21:Q31)</f>
        <v>17.28</v>
      </c>
      <c r="R20" s="77" t="n">
        <f aca="false">SUM(R21:R31)</f>
        <v>17.28</v>
      </c>
      <c r="S20" s="77" t="n">
        <f aca="false">SUM(S21:S31)</f>
        <v>17.9</v>
      </c>
      <c r="T20" s="71"/>
      <c r="U20" s="72" t="s">
        <v>212</v>
      </c>
      <c r="V20" s="69" t="str">
        <f aca="false">IF(AND($H20&lt;=V$6+6,$I20&gt;=V$6),1,"")</f>
        <v/>
      </c>
      <c r="W20" s="69" t="str">
        <f aca="false">IF(AND($H20&lt;=W$6+6,$I20&gt;=W$6),1,"")</f>
        <v/>
      </c>
      <c r="X20" s="69" t="str">
        <f aca="false">IF(AND($H20&lt;=X$6+6,$I20&gt;=X$6),1,"")</f>
        <v/>
      </c>
      <c r="Y20" s="69" t="str">
        <f aca="false">IF(AND($H20&lt;=Y$6+6,$I20&gt;=Y$6),1,"")</f>
        <v/>
      </c>
      <c r="Z20" s="69" t="n">
        <f aca="false">IF(AND($H20&lt;=Z$6+6,$I20&gt;=Z$6),1,"")</f>
        <v>1</v>
      </c>
      <c r="AA20" s="69" t="n">
        <f aca="false">IF(AND($H20&lt;=AA$6+6,$I20&gt;=AA$6),1,"")</f>
        <v>1</v>
      </c>
      <c r="AB20" s="69" t="n">
        <f aca="false">IF(AND($H20&lt;=AB$6+6,$I20&gt;=AB$6),1,"")</f>
        <v>1</v>
      </c>
      <c r="AC20" s="69" t="n">
        <f aca="false">IF(AND($H20&lt;=AC$6+6,$I20&gt;=AC$6),1,"")</f>
        <v>1</v>
      </c>
      <c r="AD20" s="69" t="n">
        <f aca="false">IF(AND($H20&lt;=AD$6+6,$I20&gt;=AD$6),1,"")</f>
        <v>1</v>
      </c>
      <c r="AE20" s="69" t="str">
        <f aca="false">IF(AND($H20&lt;=AE$6+6,$I20&gt;=AE$6),1,"")</f>
        <v/>
      </c>
      <c r="AF20" s="69" t="str">
        <f aca="false">IF(AND($H20&lt;=AF$6+6,$I20&gt;=AF$6),1,"")</f>
        <v/>
      </c>
      <c r="AG20" s="69" t="str">
        <f aca="false">IF(AND($H20&lt;=AG$6+6,$I20&gt;=AG$6),1,"")</f>
        <v/>
      </c>
      <c r="AH20" s="69" t="str">
        <f aca="false">IF(AND($H20&lt;=AH$6+6,$I20&gt;=AH$6),1,"")</f>
        <v/>
      </c>
      <c r="AI20" s="69" t="str">
        <f aca="false">IF(AND($H20&lt;=AI$6+6,$I20&gt;=AI$6),1,"")</f>
        <v/>
      </c>
      <c r="AJ20" s="69" t="str">
        <f aca="false">IF(AND($H20&lt;=AJ$6+6,$I20&gt;=AJ$6),1,"")</f>
        <v/>
      </c>
      <c r="AK20" s="69" t="str">
        <f aca="false">IF(AND($H20&lt;=AK$6+6,$I20&gt;=AK$6),1,"")</f>
        <v/>
      </c>
      <c r="AL20" s="69" t="str">
        <f aca="false">IF(AND($H20&lt;=AL$6+6,$I20&gt;=AL$6),1,"")</f>
        <v/>
      </c>
      <c r="AM20" s="69" t="str">
        <f aca="false">IF(AND($H20&lt;=AM$6+6,$I20&gt;=AM$6),1,"")</f>
        <v/>
      </c>
      <c r="AN20" s="69" t="str">
        <f aca="false">IF(AND($H20&lt;=AN$6+6,$I20&gt;=AN$6),1,"")</f>
        <v/>
      </c>
      <c r="AO20" s="69" t="str">
        <f aca="false">IF(AND($H20&lt;=AO$6+6,$I20&gt;=AO$6),1,"")</f>
        <v/>
      </c>
      <c r="AP20" s="69" t="str">
        <f aca="false">IF(AND($H20&lt;=AP$6+6,$I20&gt;=AP$6),1,"")</f>
        <v/>
      </c>
    </row>
    <row r="21" customFormat="false" ht="21.75" hidden="false" customHeight="true" outlineLevel="1" collapsed="false">
      <c r="A21" s="78" t="s">
        <v>213</v>
      </c>
      <c r="B21" s="79" t="n">
        <v>2</v>
      </c>
      <c r="C21" s="47" t="s">
        <v>214</v>
      </c>
      <c r="D21" s="47" t="s">
        <v>215</v>
      </c>
      <c r="E21" s="47" t="s">
        <v>216</v>
      </c>
      <c r="F21" s="79" t="s">
        <v>203</v>
      </c>
      <c r="G21" s="80" t="n">
        <v>2</v>
      </c>
      <c r="H21" s="81" t="n">
        <f aca="false">WORKDAY(MAX($I$19),1,Holidays)</f>
        <v>46343</v>
      </c>
      <c r="I21" s="81" t="n">
        <f aca="false">WORKDAY(H21,G21-1,Holidays)</f>
        <v>46344</v>
      </c>
      <c r="J21" s="82" t="n">
        <f aca="false">IF(StatusDate&lt;H21,0,MIN(1,NETWORKDAYS(H21,StatusDate,Holidays)/G21))</f>
        <v>1</v>
      </c>
      <c r="K21" s="83" t="n">
        <v>1</v>
      </c>
      <c r="L21" s="84" t="n">
        <f aca="false">K21-J21</f>
        <v>0</v>
      </c>
      <c r="M21" s="79" t="str">
        <f aca="false">IF(K21&gt;=1,"Complete",IF(StatusDate&gt;I21,"Overdue",IF(K21&gt;0,IF(K21&lt;J21-0.1,"Behind","In Progress"),IF(StatusDate&gt;H21,"Late Start","Not Started"))))</f>
        <v>Complete</v>
      </c>
      <c r="N21" s="80" t="n">
        <v>1</v>
      </c>
      <c r="O21" s="85" t="n">
        <f aca="false">G21*N21</f>
        <v>2</v>
      </c>
      <c r="P21" s="86" t="n">
        <f aca="false">O21*BlendedRate</f>
        <v>0.64</v>
      </c>
      <c r="Q21" s="86" t="n">
        <f aca="false">P21*J21</f>
        <v>0.64</v>
      </c>
      <c r="R21" s="86" t="n">
        <f aca="false">P21*K21</f>
        <v>0.64</v>
      </c>
      <c r="S21" s="87" t="n">
        <v>0.65</v>
      </c>
      <c r="T21" s="79" t="str">
        <f aca="false">"S"&amp;(INT((H21-ProjectStart)/SprintLen)+1)</f>
        <v>S3</v>
      </c>
      <c r="U21" s="47"/>
      <c r="V21" s="69" t="str">
        <f aca="false">IF(AND($H21&lt;=V$6+6,$I21&gt;=V$6),1,"")</f>
        <v/>
      </c>
      <c r="W21" s="69" t="str">
        <f aca="false">IF(AND($H21&lt;=W$6+6,$I21&gt;=W$6),1,"")</f>
        <v/>
      </c>
      <c r="X21" s="69" t="str">
        <f aca="false">IF(AND($H21&lt;=X$6+6,$I21&gt;=X$6),1,"")</f>
        <v/>
      </c>
      <c r="Y21" s="69" t="str">
        <f aca="false">IF(AND($H21&lt;=Y$6+6,$I21&gt;=Y$6),1,"")</f>
        <v/>
      </c>
      <c r="Z21" s="69" t="n">
        <f aca="false">IF(AND($H21&lt;=Z$6+6,$I21&gt;=Z$6),1,"")</f>
        <v>1</v>
      </c>
      <c r="AA21" s="69" t="str">
        <f aca="false">IF(AND($H21&lt;=AA$6+6,$I21&gt;=AA$6),1,"")</f>
        <v/>
      </c>
      <c r="AB21" s="69" t="str">
        <f aca="false">IF(AND($H21&lt;=AB$6+6,$I21&gt;=AB$6),1,"")</f>
        <v/>
      </c>
      <c r="AC21" s="69" t="str">
        <f aca="false">IF(AND($H21&lt;=AC$6+6,$I21&gt;=AC$6),1,"")</f>
        <v/>
      </c>
      <c r="AD21" s="69" t="str">
        <f aca="false">IF(AND($H21&lt;=AD$6+6,$I21&gt;=AD$6),1,"")</f>
        <v/>
      </c>
      <c r="AE21" s="69" t="str">
        <f aca="false">IF(AND($H21&lt;=AE$6+6,$I21&gt;=AE$6),1,"")</f>
        <v/>
      </c>
      <c r="AF21" s="69" t="str">
        <f aca="false">IF(AND($H21&lt;=AF$6+6,$I21&gt;=AF$6),1,"")</f>
        <v/>
      </c>
      <c r="AG21" s="69" t="str">
        <f aca="false">IF(AND($H21&lt;=AG$6+6,$I21&gt;=AG$6),1,"")</f>
        <v/>
      </c>
      <c r="AH21" s="69" t="str">
        <f aca="false">IF(AND($H21&lt;=AH$6+6,$I21&gt;=AH$6),1,"")</f>
        <v/>
      </c>
      <c r="AI21" s="69" t="str">
        <f aca="false">IF(AND($H21&lt;=AI$6+6,$I21&gt;=AI$6),1,"")</f>
        <v/>
      </c>
      <c r="AJ21" s="69" t="str">
        <f aca="false">IF(AND($H21&lt;=AJ$6+6,$I21&gt;=AJ$6),1,"")</f>
        <v/>
      </c>
      <c r="AK21" s="69" t="str">
        <f aca="false">IF(AND($H21&lt;=AK$6+6,$I21&gt;=AK$6),1,"")</f>
        <v/>
      </c>
      <c r="AL21" s="69" t="str">
        <f aca="false">IF(AND($H21&lt;=AL$6+6,$I21&gt;=AL$6),1,"")</f>
        <v/>
      </c>
      <c r="AM21" s="69" t="str">
        <f aca="false">IF(AND($H21&lt;=AM$6+6,$I21&gt;=AM$6),1,"")</f>
        <v/>
      </c>
      <c r="AN21" s="69" t="str">
        <f aca="false">IF(AND($H21&lt;=AN$6+6,$I21&gt;=AN$6),1,"")</f>
        <v/>
      </c>
      <c r="AO21" s="69" t="str">
        <f aca="false">IF(AND($H21&lt;=AO$6+6,$I21&gt;=AO$6),1,"")</f>
        <v/>
      </c>
      <c r="AP21" s="69" t="str">
        <f aca="false">IF(AND($H21&lt;=AP$6+6,$I21&gt;=AP$6),1,"")</f>
        <v/>
      </c>
    </row>
    <row r="22" customFormat="false" ht="21.75" hidden="false" customHeight="true" outlineLevel="1" collapsed="false">
      <c r="A22" s="78" t="s">
        <v>217</v>
      </c>
      <c r="B22" s="79" t="n">
        <v>2</v>
      </c>
      <c r="C22" s="47" t="s">
        <v>218</v>
      </c>
      <c r="D22" s="47" t="s">
        <v>219</v>
      </c>
      <c r="E22" s="47" t="s">
        <v>220</v>
      </c>
      <c r="F22" s="79" t="s">
        <v>213</v>
      </c>
      <c r="G22" s="80" t="n">
        <v>2</v>
      </c>
      <c r="H22" s="81" t="n">
        <f aca="false">WORKDAY(MAX($I$21),1,Holidays)</f>
        <v>46345</v>
      </c>
      <c r="I22" s="81" t="n">
        <f aca="false">WORKDAY(H22,G22-1,Holidays)</f>
        <v>46346</v>
      </c>
      <c r="J22" s="82" t="n">
        <f aca="false">IF(StatusDate&lt;H22,0,MIN(1,NETWORKDAYS(H22,StatusDate,Holidays)/G22))</f>
        <v>1</v>
      </c>
      <c r="K22" s="83" t="n">
        <v>1</v>
      </c>
      <c r="L22" s="84" t="n">
        <f aca="false">K22-J22</f>
        <v>0</v>
      </c>
      <c r="M22" s="79" t="str">
        <f aca="false">IF(K22&gt;=1,"Complete",IF(StatusDate&gt;I22,"Overdue",IF(K22&gt;0,IF(K22&lt;J22-0.1,"Behind","In Progress"),IF(StatusDate&gt;H22,"Late Start","Not Started"))))</f>
        <v>Complete</v>
      </c>
      <c r="N22" s="80" t="n">
        <v>2</v>
      </c>
      <c r="O22" s="85" t="n">
        <f aca="false">G22*N22</f>
        <v>4</v>
      </c>
      <c r="P22" s="86" t="n">
        <f aca="false">O22*BlendedRate</f>
        <v>1.28</v>
      </c>
      <c r="Q22" s="86" t="n">
        <f aca="false">P22*J22</f>
        <v>1.28</v>
      </c>
      <c r="R22" s="86" t="n">
        <f aca="false">P22*K22</f>
        <v>1.28</v>
      </c>
      <c r="S22" s="87" t="n">
        <v>1.31</v>
      </c>
      <c r="T22" s="79" t="str">
        <f aca="false">"S"&amp;(INT((H22-ProjectStart)/SprintLen)+1)</f>
        <v>S3</v>
      </c>
      <c r="U22" s="47"/>
      <c r="V22" s="69" t="str">
        <f aca="false">IF(AND($H22&lt;=V$6+6,$I22&gt;=V$6),1,"")</f>
        <v/>
      </c>
      <c r="W22" s="69" t="str">
        <f aca="false">IF(AND($H22&lt;=W$6+6,$I22&gt;=W$6),1,"")</f>
        <v/>
      </c>
      <c r="X22" s="69" t="str">
        <f aca="false">IF(AND($H22&lt;=X$6+6,$I22&gt;=X$6),1,"")</f>
        <v/>
      </c>
      <c r="Y22" s="69" t="str">
        <f aca="false">IF(AND($H22&lt;=Y$6+6,$I22&gt;=Y$6),1,"")</f>
        <v/>
      </c>
      <c r="Z22" s="69" t="n">
        <f aca="false">IF(AND($H22&lt;=Z$6+6,$I22&gt;=Z$6),1,"")</f>
        <v>1</v>
      </c>
      <c r="AA22" s="69" t="str">
        <f aca="false">IF(AND($H22&lt;=AA$6+6,$I22&gt;=AA$6),1,"")</f>
        <v/>
      </c>
      <c r="AB22" s="69" t="str">
        <f aca="false">IF(AND($H22&lt;=AB$6+6,$I22&gt;=AB$6),1,"")</f>
        <v/>
      </c>
      <c r="AC22" s="69" t="str">
        <f aca="false">IF(AND($H22&lt;=AC$6+6,$I22&gt;=AC$6),1,"")</f>
        <v/>
      </c>
      <c r="AD22" s="69" t="str">
        <f aca="false">IF(AND($H22&lt;=AD$6+6,$I22&gt;=AD$6),1,"")</f>
        <v/>
      </c>
      <c r="AE22" s="69" t="str">
        <f aca="false">IF(AND($H22&lt;=AE$6+6,$I22&gt;=AE$6),1,"")</f>
        <v/>
      </c>
      <c r="AF22" s="69" t="str">
        <f aca="false">IF(AND($H22&lt;=AF$6+6,$I22&gt;=AF$6),1,"")</f>
        <v/>
      </c>
      <c r="AG22" s="69" t="str">
        <f aca="false">IF(AND($H22&lt;=AG$6+6,$I22&gt;=AG$6),1,"")</f>
        <v/>
      </c>
      <c r="AH22" s="69" t="str">
        <f aca="false">IF(AND($H22&lt;=AH$6+6,$I22&gt;=AH$6),1,"")</f>
        <v/>
      </c>
      <c r="AI22" s="69" t="str">
        <f aca="false">IF(AND($H22&lt;=AI$6+6,$I22&gt;=AI$6),1,"")</f>
        <v/>
      </c>
      <c r="AJ22" s="69" t="str">
        <f aca="false">IF(AND($H22&lt;=AJ$6+6,$I22&gt;=AJ$6),1,"")</f>
        <v/>
      </c>
      <c r="AK22" s="69" t="str">
        <f aca="false">IF(AND($H22&lt;=AK$6+6,$I22&gt;=AK$6),1,"")</f>
        <v/>
      </c>
      <c r="AL22" s="69" t="str">
        <f aca="false">IF(AND($H22&lt;=AL$6+6,$I22&gt;=AL$6),1,"")</f>
        <v/>
      </c>
      <c r="AM22" s="69" t="str">
        <f aca="false">IF(AND($H22&lt;=AM$6+6,$I22&gt;=AM$6),1,"")</f>
        <v/>
      </c>
      <c r="AN22" s="69" t="str">
        <f aca="false">IF(AND($H22&lt;=AN$6+6,$I22&gt;=AN$6),1,"")</f>
        <v/>
      </c>
      <c r="AO22" s="69" t="str">
        <f aca="false">IF(AND($H22&lt;=AO$6+6,$I22&gt;=AO$6),1,"")</f>
        <v/>
      </c>
      <c r="AP22" s="69" t="str">
        <f aca="false">IF(AND($H22&lt;=AP$6+6,$I22&gt;=AP$6),1,"")</f>
        <v/>
      </c>
    </row>
    <row r="23" customFormat="false" ht="21.75" hidden="false" customHeight="true" outlineLevel="1" collapsed="false">
      <c r="A23" s="78" t="s">
        <v>221</v>
      </c>
      <c r="B23" s="79" t="n">
        <v>2</v>
      </c>
      <c r="C23" s="47" t="s">
        <v>222</v>
      </c>
      <c r="D23" s="47" t="s">
        <v>223</v>
      </c>
      <c r="E23" s="47" t="s">
        <v>220</v>
      </c>
      <c r="F23" s="79" t="s">
        <v>217</v>
      </c>
      <c r="G23" s="80" t="n">
        <v>2</v>
      </c>
      <c r="H23" s="81" t="n">
        <f aca="false">WORKDAY(MAX($I$22),1,Holidays)</f>
        <v>46349</v>
      </c>
      <c r="I23" s="81" t="n">
        <f aca="false">WORKDAY(H23,G23-1,Holidays)</f>
        <v>46351</v>
      </c>
      <c r="J23" s="82" t="n">
        <f aca="false">IF(StatusDate&lt;H23,0,MIN(1,NETWORKDAYS(H23,StatusDate,Holidays)/G23))</f>
        <v>1</v>
      </c>
      <c r="K23" s="83" t="n">
        <v>1</v>
      </c>
      <c r="L23" s="84" t="n">
        <f aca="false">K23-J23</f>
        <v>0</v>
      </c>
      <c r="M23" s="79" t="str">
        <f aca="false">IF(K23&gt;=1,"Complete",IF(StatusDate&gt;I23,"Overdue",IF(K23&gt;0,IF(K23&lt;J23-0.1,"Behind","In Progress"),IF(StatusDate&gt;H23,"Late Start","Not Started"))))</f>
        <v>Complete</v>
      </c>
      <c r="N23" s="80" t="n">
        <v>2</v>
      </c>
      <c r="O23" s="85" t="n">
        <f aca="false">G23*N23</f>
        <v>4</v>
      </c>
      <c r="P23" s="86" t="n">
        <f aca="false">O23*BlendedRate</f>
        <v>1.28</v>
      </c>
      <c r="Q23" s="86" t="n">
        <f aca="false">P23*J23</f>
        <v>1.28</v>
      </c>
      <c r="R23" s="86" t="n">
        <f aca="false">P23*K23</f>
        <v>1.28</v>
      </c>
      <c r="S23" s="87" t="n">
        <v>1.31</v>
      </c>
      <c r="T23" s="79" t="str">
        <f aca="false">"S"&amp;(INT((H23-ProjectStart)/SprintLen)+1)</f>
        <v>S3</v>
      </c>
      <c r="U23" s="47"/>
      <c r="V23" s="69" t="str">
        <f aca="false">IF(AND($H23&lt;=V$6+6,$I23&gt;=V$6),1,"")</f>
        <v/>
      </c>
      <c r="W23" s="69" t="str">
        <f aca="false">IF(AND($H23&lt;=W$6+6,$I23&gt;=W$6),1,"")</f>
        <v/>
      </c>
      <c r="X23" s="69" t="str">
        <f aca="false">IF(AND($H23&lt;=X$6+6,$I23&gt;=X$6),1,"")</f>
        <v/>
      </c>
      <c r="Y23" s="69" t="str">
        <f aca="false">IF(AND($H23&lt;=Y$6+6,$I23&gt;=Y$6),1,"")</f>
        <v/>
      </c>
      <c r="Z23" s="69" t="str">
        <f aca="false">IF(AND($H23&lt;=Z$6+6,$I23&gt;=Z$6),1,"")</f>
        <v/>
      </c>
      <c r="AA23" s="69" t="n">
        <f aca="false">IF(AND($H23&lt;=AA$6+6,$I23&gt;=AA$6),1,"")</f>
        <v>1</v>
      </c>
      <c r="AB23" s="69" t="str">
        <f aca="false">IF(AND($H23&lt;=AB$6+6,$I23&gt;=AB$6),1,"")</f>
        <v/>
      </c>
      <c r="AC23" s="69" t="str">
        <f aca="false">IF(AND($H23&lt;=AC$6+6,$I23&gt;=AC$6),1,"")</f>
        <v/>
      </c>
      <c r="AD23" s="69" t="str">
        <f aca="false">IF(AND($H23&lt;=AD$6+6,$I23&gt;=AD$6),1,"")</f>
        <v/>
      </c>
      <c r="AE23" s="69" t="str">
        <f aca="false">IF(AND($H23&lt;=AE$6+6,$I23&gt;=AE$6),1,"")</f>
        <v/>
      </c>
      <c r="AF23" s="69" t="str">
        <f aca="false">IF(AND($H23&lt;=AF$6+6,$I23&gt;=AF$6),1,"")</f>
        <v/>
      </c>
      <c r="AG23" s="69" t="str">
        <f aca="false">IF(AND($H23&lt;=AG$6+6,$I23&gt;=AG$6),1,"")</f>
        <v/>
      </c>
      <c r="AH23" s="69" t="str">
        <f aca="false">IF(AND($H23&lt;=AH$6+6,$I23&gt;=AH$6),1,"")</f>
        <v/>
      </c>
      <c r="AI23" s="69" t="str">
        <f aca="false">IF(AND($H23&lt;=AI$6+6,$I23&gt;=AI$6),1,"")</f>
        <v/>
      </c>
      <c r="AJ23" s="69" t="str">
        <f aca="false">IF(AND($H23&lt;=AJ$6+6,$I23&gt;=AJ$6),1,"")</f>
        <v/>
      </c>
      <c r="AK23" s="69" t="str">
        <f aca="false">IF(AND($H23&lt;=AK$6+6,$I23&gt;=AK$6),1,"")</f>
        <v/>
      </c>
      <c r="AL23" s="69" t="str">
        <f aca="false">IF(AND($H23&lt;=AL$6+6,$I23&gt;=AL$6),1,"")</f>
        <v/>
      </c>
      <c r="AM23" s="69" t="str">
        <f aca="false">IF(AND($H23&lt;=AM$6+6,$I23&gt;=AM$6),1,"")</f>
        <v/>
      </c>
      <c r="AN23" s="69" t="str">
        <f aca="false">IF(AND($H23&lt;=AN$6+6,$I23&gt;=AN$6),1,"")</f>
        <v/>
      </c>
      <c r="AO23" s="69" t="str">
        <f aca="false">IF(AND($H23&lt;=AO$6+6,$I23&gt;=AO$6),1,"")</f>
        <v/>
      </c>
      <c r="AP23" s="69" t="str">
        <f aca="false">IF(AND($H23&lt;=AP$6+6,$I23&gt;=AP$6),1,"")</f>
        <v/>
      </c>
    </row>
    <row r="24" customFormat="false" ht="21.75" hidden="false" customHeight="true" outlineLevel="1" collapsed="false">
      <c r="A24" s="78" t="s">
        <v>224</v>
      </c>
      <c r="B24" s="79" t="n">
        <v>2</v>
      </c>
      <c r="C24" s="47" t="s">
        <v>225</v>
      </c>
      <c r="D24" s="47" t="s">
        <v>226</v>
      </c>
      <c r="E24" s="47" t="s">
        <v>220</v>
      </c>
      <c r="F24" s="79" t="s">
        <v>221</v>
      </c>
      <c r="G24" s="80" t="n">
        <v>1</v>
      </c>
      <c r="H24" s="81" t="n">
        <f aca="false">WORKDAY(MAX($I$23),1,Holidays)</f>
        <v>46352</v>
      </c>
      <c r="I24" s="81" t="n">
        <f aca="false">WORKDAY(H24,G24-1,Holidays)</f>
        <v>46352</v>
      </c>
      <c r="J24" s="82" t="n">
        <f aca="false">IF(StatusDate&lt;H24,0,MIN(1,NETWORKDAYS(H24,StatusDate,Holidays)/G24))</f>
        <v>1</v>
      </c>
      <c r="K24" s="83" t="n">
        <v>1</v>
      </c>
      <c r="L24" s="84" t="n">
        <f aca="false">K24-J24</f>
        <v>0</v>
      </c>
      <c r="M24" s="79" t="str">
        <f aca="false">IF(K24&gt;=1,"Complete",IF(StatusDate&gt;I24,"Overdue",IF(K24&gt;0,IF(K24&lt;J24-0.1,"Behind","In Progress"),IF(StatusDate&gt;H24,"Late Start","Not Started"))))</f>
        <v>Complete</v>
      </c>
      <c r="N24" s="80" t="n">
        <v>1</v>
      </c>
      <c r="O24" s="85" t="n">
        <f aca="false">G24*N24</f>
        <v>1</v>
      </c>
      <c r="P24" s="86" t="n">
        <f aca="false">O24*BlendedRate</f>
        <v>0.32</v>
      </c>
      <c r="Q24" s="86" t="n">
        <f aca="false">P24*J24</f>
        <v>0.32</v>
      </c>
      <c r="R24" s="86" t="n">
        <f aca="false">P24*K24</f>
        <v>0.32</v>
      </c>
      <c r="S24" s="87" t="n">
        <v>0.33</v>
      </c>
      <c r="T24" s="79" t="str">
        <f aca="false">"S"&amp;(INT((H24-ProjectStart)/SprintLen)+1)</f>
        <v>S3</v>
      </c>
      <c r="U24" s="47"/>
      <c r="V24" s="69" t="str">
        <f aca="false">IF(AND($H24&lt;=V$6+6,$I24&gt;=V$6),1,"")</f>
        <v/>
      </c>
      <c r="W24" s="69" t="str">
        <f aca="false">IF(AND($H24&lt;=W$6+6,$I24&gt;=W$6),1,"")</f>
        <v/>
      </c>
      <c r="X24" s="69" t="str">
        <f aca="false">IF(AND($H24&lt;=X$6+6,$I24&gt;=X$6),1,"")</f>
        <v/>
      </c>
      <c r="Y24" s="69" t="str">
        <f aca="false">IF(AND($H24&lt;=Y$6+6,$I24&gt;=Y$6),1,"")</f>
        <v/>
      </c>
      <c r="Z24" s="69" t="str">
        <f aca="false">IF(AND($H24&lt;=Z$6+6,$I24&gt;=Z$6),1,"")</f>
        <v/>
      </c>
      <c r="AA24" s="69" t="n">
        <f aca="false">IF(AND($H24&lt;=AA$6+6,$I24&gt;=AA$6),1,"")</f>
        <v>1</v>
      </c>
      <c r="AB24" s="69" t="str">
        <f aca="false">IF(AND($H24&lt;=AB$6+6,$I24&gt;=AB$6),1,"")</f>
        <v/>
      </c>
      <c r="AC24" s="69" t="str">
        <f aca="false">IF(AND($H24&lt;=AC$6+6,$I24&gt;=AC$6),1,"")</f>
        <v/>
      </c>
      <c r="AD24" s="69" t="str">
        <f aca="false">IF(AND($H24&lt;=AD$6+6,$I24&gt;=AD$6),1,"")</f>
        <v/>
      </c>
      <c r="AE24" s="69" t="str">
        <f aca="false">IF(AND($H24&lt;=AE$6+6,$I24&gt;=AE$6),1,"")</f>
        <v/>
      </c>
      <c r="AF24" s="69" t="str">
        <f aca="false">IF(AND($H24&lt;=AF$6+6,$I24&gt;=AF$6),1,"")</f>
        <v/>
      </c>
      <c r="AG24" s="69" t="str">
        <f aca="false">IF(AND($H24&lt;=AG$6+6,$I24&gt;=AG$6),1,"")</f>
        <v/>
      </c>
      <c r="AH24" s="69" t="str">
        <f aca="false">IF(AND($H24&lt;=AH$6+6,$I24&gt;=AH$6),1,"")</f>
        <v/>
      </c>
      <c r="AI24" s="69" t="str">
        <f aca="false">IF(AND($H24&lt;=AI$6+6,$I24&gt;=AI$6),1,"")</f>
        <v/>
      </c>
      <c r="AJ24" s="69" t="str">
        <f aca="false">IF(AND($H24&lt;=AJ$6+6,$I24&gt;=AJ$6),1,"")</f>
        <v/>
      </c>
      <c r="AK24" s="69" t="str">
        <f aca="false">IF(AND($H24&lt;=AK$6+6,$I24&gt;=AK$6),1,"")</f>
        <v/>
      </c>
      <c r="AL24" s="69" t="str">
        <f aca="false">IF(AND($H24&lt;=AL$6+6,$I24&gt;=AL$6),1,"")</f>
        <v/>
      </c>
      <c r="AM24" s="69" t="str">
        <f aca="false">IF(AND($H24&lt;=AM$6+6,$I24&gt;=AM$6),1,"")</f>
        <v/>
      </c>
      <c r="AN24" s="69" t="str">
        <f aca="false">IF(AND($H24&lt;=AN$6+6,$I24&gt;=AN$6),1,"")</f>
        <v/>
      </c>
      <c r="AO24" s="69" t="str">
        <f aca="false">IF(AND($H24&lt;=AO$6+6,$I24&gt;=AO$6),1,"")</f>
        <v/>
      </c>
      <c r="AP24" s="69" t="str">
        <f aca="false">IF(AND($H24&lt;=AP$6+6,$I24&gt;=AP$6),1,"")</f>
        <v/>
      </c>
    </row>
    <row r="25" customFormat="false" ht="21.75" hidden="false" customHeight="true" outlineLevel="1" collapsed="false">
      <c r="A25" s="78" t="s">
        <v>227</v>
      </c>
      <c r="B25" s="79" t="n">
        <v>2</v>
      </c>
      <c r="C25" s="47" t="s">
        <v>228</v>
      </c>
      <c r="D25" s="47" t="s">
        <v>229</v>
      </c>
      <c r="E25" s="47" t="s">
        <v>230</v>
      </c>
      <c r="F25" s="79" t="s">
        <v>203</v>
      </c>
      <c r="G25" s="80" t="n">
        <v>3</v>
      </c>
      <c r="H25" s="81" t="n">
        <f aca="false">WORKDAY(MAX($I$19),1,Holidays)</f>
        <v>46343</v>
      </c>
      <c r="I25" s="81" t="n">
        <f aca="false">WORKDAY(H25,G25-1,Holidays)</f>
        <v>46345</v>
      </c>
      <c r="J25" s="82" t="n">
        <f aca="false">IF(StatusDate&lt;H25,0,MIN(1,NETWORKDAYS(H25,StatusDate,Holidays)/G25))</f>
        <v>1</v>
      </c>
      <c r="K25" s="83" t="n">
        <v>1</v>
      </c>
      <c r="L25" s="84" t="n">
        <f aca="false">K25-J25</f>
        <v>0</v>
      </c>
      <c r="M25" s="79" t="str">
        <f aca="false">IF(K25&gt;=1,"Complete",IF(StatusDate&gt;I25,"Overdue",IF(K25&gt;0,IF(K25&lt;J25-0.1,"Behind","In Progress"),IF(StatusDate&gt;H25,"Late Start","Not Started"))))</f>
        <v>Complete</v>
      </c>
      <c r="N25" s="80" t="n">
        <v>3</v>
      </c>
      <c r="O25" s="85" t="n">
        <f aca="false">G25*N25</f>
        <v>9</v>
      </c>
      <c r="P25" s="86" t="n">
        <f aca="false">O25*BlendedRate</f>
        <v>2.88</v>
      </c>
      <c r="Q25" s="86" t="n">
        <f aca="false">P25*J25</f>
        <v>2.88</v>
      </c>
      <c r="R25" s="86" t="n">
        <f aca="false">P25*K25</f>
        <v>2.88</v>
      </c>
      <c r="S25" s="87" t="n">
        <v>2.94</v>
      </c>
      <c r="T25" s="79" t="str">
        <f aca="false">"S"&amp;(INT((H25-ProjectStart)/SprintLen)+1)</f>
        <v>S3</v>
      </c>
      <c r="U25" s="47"/>
      <c r="V25" s="69" t="str">
        <f aca="false">IF(AND($H25&lt;=V$6+6,$I25&gt;=V$6),1,"")</f>
        <v/>
      </c>
      <c r="W25" s="69" t="str">
        <f aca="false">IF(AND($H25&lt;=W$6+6,$I25&gt;=W$6),1,"")</f>
        <v/>
      </c>
      <c r="X25" s="69" t="str">
        <f aca="false">IF(AND($H25&lt;=X$6+6,$I25&gt;=X$6),1,"")</f>
        <v/>
      </c>
      <c r="Y25" s="69" t="str">
        <f aca="false">IF(AND($H25&lt;=Y$6+6,$I25&gt;=Y$6),1,"")</f>
        <v/>
      </c>
      <c r="Z25" s="69" t="n">
        <f aca="false">IF(AND($H25&lt;=Z$6+6,$I25&gt;=Z$6),1,"")</f>
        <v>1</v>
      </c>
      <c r="AA25" s="69" t="str">
        <f aca="false">IF(AND($H25&lt;=AA$6+6,$I25&gt;=AA$6),1,"")</f>
        <v/>
      </c>
      <c r="AB25" s="69" t="str">
        <f aca="false">IF(AND($H25&lt;=AB$6+6,$I25&gt;=AB$6),1,"")</f>
        <v/>
      </c>
      <c r="AC25" s="69" t="str">
        <f aca="false">IF(AND($H25&lt;=AC$6+6,$I25&gt;=AC$6),1,"")</f>
        <v/>
      </c>
      <c r="AD25" s="69" t="str">
        <f aca="false">IF(AND($H25&lt;=AD$6+6,$I25&gt;=AD$6),1,"")</f>
        <v/>
      </c>
      <c r="AE25" s="69" t="str">
        <f aca="false">IF(AND($H25&lt;=AE$6+6,$I25&gt;=AE$6),1,"")</f>
        <v/>
      </c>
      <c r="AF25" s="69" t="str">
        <f aca="false">IF(AND($H25&lt;=AF$6+6,$I25&gt;=AF$6),1,"")</f>
        <v/>
      </c>
      <c r="AG25" s="69" t="str">
        <f aca="false">IF(AND($H25&lt;=AG$6+6,$I25&gt;=AG$6),1,"")</f>
        <v/>
      </c>
      <c r="AH25" s="69" t="str">
        <f aca="false">IF(AND($H25&lt;=AH$6+6,$I25&gt;=AH$6),1,"")</f>
        <v/>
      </c>
      <c r="AI25" s="69" t="str">
        <f aca="false">IF(AND($H25&lt;=AI$6+6,$I25&gt;=AI$6),1,"")</f>
        <v/>
      </c>
      <c r="AJ25" s="69" t="str">
        <f aca="false">IF(AND($H25&lt;=AJ$6+6,$I25&gt;=AJ$6),1,"")</f>
        <v/>
      </c>
      <c r="AK25" s="69" t="str">
        <f aca="false">IF(AND($H25&lt;=AK$6+6,$I25&gt;=AK$6),1,"")</f>
        <v/>
      </c>
      <c r="AL25" s="69" t="str">
        <f aca="false">IF(AND($H25&lt;=AL$6+6,$I25&gt;=AL$6),1,"")</f>
        <v/>
      </c>
      <c r="AM25" s="69" t="str">
        <f aca="false">IF(AND($H25&lt;=AM$6+6,$I25&gt;=AM$6),1,"")</f>
        <v/>
      </c>
      <c r="AN25" s="69" t="str">
        <f aca="false">IF(AND($H25&lt;=AN$6+6,$I25&gt;=AN$6),1,"")</f>
        <v/>
      </c>
      <c r="AO25" s="69" t="str">
        <f aca="false">IF(AND($H25&lt;=AO$6+6,$I25&gt;=AO$6),1,"")</f>
        <v/>
      </c>
      <c r="AP25" s="69" t="str">
        <f aca="false">IF(AND($H25&lt;=AP$6+6,$I25&gt;=AP$6),1,"")</f>
        <v/>
      </c>
    </row>
    <row r="26" customFormat="false" ht="21.75" hidden="false" customHeight="true" outlineLevel="1" collapsed="false">
      <c r="A26" s="78" t="s">
        <v>231</v>
      </c>
      <c r="B26" s="79" t="n">
        <v>2</v>
      </c>
      <c r="C26" s="47" t="s">
        <v>232</v>
      </c>
      <c r="D26" s="47" t="s">
        <v>233</v>
      </c>
      <c r="E26" s="47" t="s">
        <v>220</v>
      </c>
      <c r="F26" s="79" t="s">
        <v>234</v>
      </c>
      <c r="G26" s="80" t="n">
        <v>4</v>
      </c>
      <c r="H26" s="81" t="n">
        <f aca="false">WORKDAY(MAX($I$23,$I$25),1,Holidays)</f>
        <v>46352</v>
      </c>
      <c r="I26" s="81" t="n">
        <f aca="false">WORKDAY(H26,G26-1,Holidays)</f>
        <v>46357</v>
      </c>
      <c r="J26" s="82" t="n">
        <f aca="false">IF(StatusDate&lt;H26,0,MIN(1,NETWORKDAYS(H26,StatusDate,Holidays)/G26))</f>
        <v>1</v>
      </c>
      <c r="K26" s="83" t="n">
        <v>1</v>
      </c>
      <c r="L26" s="84" t="n">
        <f aca="false">K26-J26</f>
        <v>0</v>
      </c>
      <c r="M26" s="79" t="str">
        <f aca="false">IF(K26&gt;=1,"Complete",IF(StatusDate&gt;I26,"Overdue",IF(K26&gt;0,IF(K26&lt;J26-0.1,"Behind","In Progress"),IF(StatusDate&gt;H26,"Late Start","Not Started"))))</f>
        <v>Complete</v>
      </c>
      <c r="N26" s="80" t="n">
        <v>2</v>
      </c>
      <c r="O26" s="85" t="n">
        <f aca="false">G26*N26</f>
        <v>8</v>
      </c>
      <c r="P26" s="86" t="n">
        <f aca="false">O26*BlendedRate</f>
        <v>2.56</v>
      </c>
      <c r="Q26" s="86" t="n">
        <f aca="false">P26*J26</f>
        <v>2.56</v>
      </c>
      <c r="R26" s="86" t="n">
        <f aca="false">P26*K26</f>
        <v>2.56</v>
      </c>
      <c r="S26" s="87" t="n">
        <v>2.87</v>
      </c>
      <c r="T26" s="79" t="str">
        <f aca="false">"S"&amp;(INT((H26-ProjectStart)/SprintLen)+1)</f>
        <v>S3</v>
      </c>
      <c r="U26" s="47"/>
      <c r="V26" s="69" t="str">
        <f aca="false">IF(AND($H26&lt;=V$6+6,$I26&gt;=V$6),1,"")</f>
        <v/>
      </c>
      <c r="W26" s="69" t="str">
        <f aca="false">IF(AND($H26&lt;=W$6+6,$I26&gt;=W$6),1,"")</f>
        <v/>
      </c>
      <c r="X26" s="69" t="str">
        <f aca="false">IF(AND($H26&lt;=X$6+6,$I26&gt;=X$6),1,"")</f>
        <v/>
      </c>
      <c r="Y26" s="69" t="str">
        <f aca="false">IF(AND($H26&lt;=Y$6+6,$I26&gt;=Y$6),1,"")</f>
        <v/>
      </c>
      <c r="Z26" s="69" t="str">
        <f aca="false">IF(AND($H26&lt;=Z$6+6,$I26&gt;=Z$6),1,"")</f>
        <v/>
      </c>
      <c r="AA26" s="69" t="n">
        <f aca="false">IF(AND($H26&lt;=AA$6+6,$I26&gt;=AA$6),1,"")</f>
        <v>1</v>
      </c>
      <c r="AB26" s="69" t="n">
        <f aca="false">IF(AND($H26&lt;=AB$6+6,$I26&gt;=AB$6),1,"")</f>
        <v>1</v>
      </c>
      <c r="AC26" s="69" t="str">
        <f aca="false">IF(AND($H26&lt;=AC$6+6,$I26&gt;=AC$6),1,"")</f>
        <v/>
      </c>
      <c r="AD26" s="69" t="str">
        <f aca="false">IF(AND($H26&lt;=AD$6+6,$I26&gt;=AD$6),1,"")</f>
        <v/>
      </c>
      <c r="AE26" s="69" t="str">
        <f aca="false">IF(AND($H26&lt;=AE$6+6,$I26&gt;=AE$6),1,"")</f>
        <v/>
      </c>
      <c r="AF26" s="69" t="str">
        <f aca="false">IF(AND($H26&lt;=AF$6+6,$I26&gt;=AF$6),1,"")</f>
        <v/>
      </c>
      <c r="AG26" s="69" t="str">
        <f aca="false">IF(AND($H26&lt;=AG$6+6,$I26&gt;=AG$6),1,"")</f>
        <v/>
      </c>
      <c r="AH26" s="69" t="str">
        <f aca="false">IF(AND($H26&lt;=AH$6+6,$I26&gt;=AH$6),1,"")</f>
        <v/>
      </c>
      <c r="AI26" s="69" t="str">
        <f aca="false">IF(AND($H26&lt;=AI$6+6,$I26&gt;=AI$6),1,"")</f>
        <v/>
      </c>
      <c r="AJ26" s="69" t="str">
        <f aca="false">IF(AND($H26&lt;=AJ$6+6,$I26&gt;=AJ$6),1,"")</f>
        <v/>
      </c>
      <c r="AK26" s="69" t="str">
        <f aca="false">IF(AND($H26&lt;=AK$6+6,$I26&gt;=AK$6),1,"")</f>
        <v/>
      </c>
      <c r="AL26" s="69" t="str">
        <f aca="false">IF(AND($H26&lt;=AL$6+6,$I26&gt;=AL$6),1,"")</f>
        <v/>
      </c>
      <c r="AM26" s="69" t="str">
        <f aca="false">IF(AND($H26&lt;=AM$6+6,$I26&gt;=AM$6),1,"")</f>
        <v/>
      </c>
      <c r="AN26" s="69" t="str">
        <f aca="false">IF(AND($H26&lt;=AN$6+6,$I26&gt;=AN$6),1,"")</f>
        <v/>
      </c>
      <c r="AO26" s="69" t="str">
        <f aca="false">IF(AND($H26&lt;=AO$6+6,$I26&gt;=AO$6),1,"")</f>
        <v/>
      </c>
      <c r="AP26" s="69" t="str">
        <f aca="false">IF(AND($H26&lt;=AP$6+6,$I26&gt;=AP$6),1,"")</f>
        <v/>
      </c>
    </row>
    <row r="27" customFormat="false" ht="21.75" hidden="false" customHeight="true" outlineLevel="1" collapsed="false">
      <c r="A27" s="78" t="s">
        <v>235</v>
      </c>
      <c r="B27" s="79" t="n">
        <v>2</v>
      </c>
      <c r="C27" s="47" t="s">
        <v>236</v>
      </c>
      <c r="D27" s="47" t="s">
        <v>237</v>
      </c>
      <c r="E27" s="47" t="s">
        <v>220</v>
      </c>
      <c r="F27" s="79" t="s">
        <v>231</v>
      </c>
      <c r="G27" s="80" t="n">
        <v>3</v>
      </c>
      <c r="H27" s="81" t="n">
        <f aca="false">WORKDAY(MAX($I$26),1,Holidays)</f>
        <v>46358</v>
      </c>
      <c r="I27" s="81" t="n">
        <f aca="false">WORKDAY(H27,G27-1,Holidays)</f>
        <v>46360</v>
      </c>
      <c r="J27" s="82" t="n">
        <f aca="false">IF(StatusDate&lt;H27,0,MIN(1,NETWORKDAYS(H27,StatusDate,Holidays)/G27))</f>
        <v>1</v>
      </c>
      <c r="K27" s="83" t="n">
        <v>1</v>
      </c>
      <c r="L27" s="84" t="n">
        <f aca="false">K27-J27</f>
        <v>0</v>
      </c>
      <c r="M27" s="79" t="str">
        <f aca="false">IF(K27&gt;=1,"Complete",IF(StatusDate&gt;I27,"Overdue",IF(K27&gt;0,IF(K27&lt;J27-0.1,"Behind","In Progress"),IF(StatusDate&gt;H27,"Late Start","Not Started"))))</f>
        <v>Complete</v>
      </c>
      <c r="N27" s="80" t="n">
        <v>2</v>
      </c>
      <c r="O27" s="85" t="n">
        <f aca="false">G27*N27</f>
        <v>6</v>
      </c>
      <c r="P27" s="86" t="n">
        <f aca="false">O27*BlendedRate</f>
        <v>1.92</v>
      </c>
      <c r="Q27" s="86" t="n">
        <f aca="false">P27*J27</f>
        <v>1.92</v>
      </c>
      <c r="R27" s="86" t="n">
        <f aca="false">P27*K27</f>
        <v>1.92</v>
      </c>
      <c r="S27" s="87" t="n">
        <v>1.96</v>
      </c>
      <c r="T27" s="79" t="str">
        <f aca="false">"S"&amp;(INT((H27-ProjectStart)/SprintLen)+1)</f>
        <v>S4</v>
      </c>
      <c r="U27" s="47"/>
      <c r="V27" s="69" t="str">
        <f aca="false">IF(AND($H27&lt;=V$6+6,$I27&gt;=V$6),1,"")</f>
        <v/>
      </c>
      <c r="W27" s="69" t="str">
        <f aca="false">IF(AND($H27&lt;=W$6+6,$I27&gt;=W$6),1,"")</f>
        <v/>
      </c>
      <c r="X27" s="69" t="str">
        <f aca="false">IF(AND($H27&lt;=X$6+6,$I27&gt;=X$6),1,"")</f>
        <v/>
      </c>
      <c r="Y27" s="69" t="str">
        <f aca="false">IF(AND($H27&lt;=Y$6+6,$I27&gt;=Y$6),1,"")</f>
        <v/>
      </c>
      <c r="Z27" s="69" t="str">
        <f aca="false">IF(AND($H27&lt;=Z$6+6,$I27&gt;=Z$6),1,"")</f>
        <v/>
      </c>
      <c r="AA27" s="69" t="str">
        <f aca="false">IF(AND($H27&lt;=AA$6+6,$I27&gt;=AA$6),1,"")</f>
        <v/>
      </c>
      <c r="AB27" s="69" t="n">
        <f aca="false">IF(AND($H27&lt;=AB$6+6,$I27&gt;=AB$6),1,"")</f>
        <v>1</v>
      </c>
      <c r="AC27" s="69" t="str">
        <f aca="false">IF(AND($H27&lt;=AC$6+6,$I27&gt;=AC$6),1,"")</f>
        <v/>
      </c>
      <c r="AD27" s="69" t="str">
        <f aca="false">IF(AND($H27&lt;=AD$6+6,$I27&gt;=AD$6),1,"")</f>
        <v/>
      </c>
      <c r="AE27" s="69" t="str">
        <f aca="false">IF(AND($H27&lt;=AE$6+6,$I27&gt;=AE$6),1,"")</f>
        <v/>
      </c>
      <c r="AF27" s="69" t="str">
        <f aca="false">IF(AND($H27&lt;=AF$6+6,$I27&gt;=AF$6),1,"")</f>
        <v/>
      </c>
      <c r="AG27" s="69" t="str">
        <f aca="false">IF(AND($H27&lt;=AG$6+6,$I27&gt;=AG$6),1,"")</f>
        <v/>
      </c>
      <c r="AH27" s="69" t="str">
        <f aca="false">IF(AND($H27&lt;=AH$6+6,$I27&gt;=AH$6),1,"")</f>
        <v/>
      </c>
      <c r="AI27" s="69" t="str">
        <f aca="false">IF(AND($H27&lt;=AI$6+6,$I27&gt;=AI$6),1,"")</f>
        <v/>
      </c>
      <c r="AJ27" s="69" t="str">
        <f aca="false">IF(AND($H27&lt;=AJ$6+6,$I27&gt;=AJ$6),1,"")</f>
        <v/>
      </c>
      <c r="AK27" s="69" t="str">
        <f aca="false">IF(AND($H27&lt;=AK$6+6,$I27&gt;=AK$6),1,"")</f>
        <v/>
      </c>
      <c r="AL27" s="69" t="str">
        <f aca="false">IF(AND($H27&lt;=AL$6+6,$I27&gt;=AL$6),1,"")</f>
        <v/>
      </c>
      <c r="AM27" s="69" t="str">
        <f aca="false">IF(AND($H27&lt;=AM$6+6,$I27&gt;=AM$6),1,"")</f>
        <v/>
      </c>
      <c r="AN27" s="69" t="str">
        <f aca="false">IF(AND($H27&lt;=AN$6+6,$I27&gt;=AN$6),1,"")</f>
        <v/>
      </c>
      <c r="AO27" s="69" t="str">
        <f aca="false">IF(AND($H27&lt;=AO$6+6,$I27&gt;=AO$6),1,"")</f>
        <v/>
      </c>
      <c r="AP27" s="69" t="str">
        <f aca="false">IF(AND($H27&lt;=AP$6+6,$I27&gt;=AP$6),1,"")</f>
        <v/>
      </c>
    </row>
    <row r="28" customFormat="false" ht="21.75" hidden="false" customHeight="true" outlineLevel="1" collapsed="false">
      <c r="A28" s="78" t="s">
        <v>238</v>
      </c>
      <c r="B28" s="79" t="n">
        <v>2</v>
      </c>
      <c r="C28" s="47" t="s">
        <v>239</v>
      </c>
      <c r="D28" s="47" t="s">
        <v>240</v>
      </c>
      <c r="E28" s="47" t="s">
        <v>220</v>
      </c>
      <c r="F28" s="79" t="s">
        <v>235</v>
      </c>
      <c r="G28" s="80" t="n">
        <v>3</v>
      </c>
      <c r="H28" s="81" t="n">
        <f aca="false">WORKDAY(MAX($I$27),1,Holidays)</f>
        <v>46363</v>
      </c>
      <c r="I28" s="81" t="n">
        <f aca="false">WORKDAY(H28,G28-1,Holidays)</f>
        <v>46365</v>
      </c>
      <c r="J28" s="82" t="n">
        <f aca="false">IF(StatusDate&lt;H28,0,MIN(1,NETWORKDAYS(H28,StatusDate,Holidays)/G28))</f>
        <v>1</v>
      </c>
      <c r="K28" s="83" t="n">
        <v>1</v>
      </c>
      <c r="L28" s="84" t="n">
        <f aca="false">K28-J28</f>
        <v>0</v>
      </c>
      <c r="M28" s="79" t="str">
        <f aca="false">IF(K28&gt;=1,"Complete",IF(StatusDate&gt;I28,"Overdue",IF(K28&gt;0,IF(K28&lt;J28-0.1,"Behind","In Progress"),IF(StatusDate&gt;H28,"Late Start","Not Started"))))</f>
        <v>Complete</v>
      </c>
      <c r="N28" s="80" t="n">
        <v>2</v>
      </c>
      <c r="O28" s="85" t="n">
        <f aca="false">G28*N28</f>
        <v>6</v>
      </c>
      <c r="P28" s="86" t="n">
        <f aca="false">O28*BlendedRate</f>
        <v>1.92</v>
      </c>
      <c r="Q28" s="86" t="n">
        <f aca="false">P28*J28</f>
        <v>1.92</v>
      </c>
      <c r="R28" s="86" t="n">
        <f aca="false">P28*K28</f>
        <v>1.92</v>
      </c>
      <c r="S28" s="87" t="n">
        <v>1.96</v>
      </c>
      <c r="T28" s="79" t="str">
        <f aca="false">"S"&amp;(INT((H28-ProjectStart)/SprintLen)+1)</f>
        <v>S4</v>
      </c>
      <c r="U28" s="47"/>
      <c r="V28" s="69" t="str">
        <f aca="false">IF(AND($H28&lt;=V$6+6,$I28&gt;=V$6),1,"")</f>
        <v/>
      </c>
      <c r="W28" s="69" t="str">
        <f aca="false">IF(AND($H28&lt;=W$6+6,$I28&gt;=W$6),1,"")</f>
        <v/>
      </c>
      <c r="X28" s="69" t="str">
        <f aca="false">IF(AND($H28&lt;=X$6+6,$I28&gt;=X$6),1,"")</f>
        <v/>
      </c>
      <c r="Y28" s="69" t="str">
        <f aca="false">IF(AND($H28&lt;=Y$6+6,$I28&gt;=Y$6),1,"")</f>
        <v/>
      </c>
      <c r="Z28" s="69" t="str">
        <f aca="false">IF(AND($H28&lt;=Z$6+6,$I28&gt;=Z$6),1,"")</f>
        <v/>
      </c>
      <c r="AA28" s="69" t="str">
        <f aca="false">IF(AND($H28&lt;=AA$6+6,$I28&gt;=AA$6),1,"")</f>
        <v/>
      </c>
      <c r="AB28" s="69" t="str">
        <f aca="false">IF(AND($H28&lt;=AB$6+6,$I28&gt;=AB$6),1,"")</f>
        <v/>
      </c>
      <c r="AC28" s="69" t="n">
        <f aca="false">IF(AND($H28&lt;=AC$6+6,$I28&gt;=AC$6),1,"")</f>
        <v>1</v>
      </c>
      <c r="AD28" s="69" t="str">
        <f aca="false">IF(AND($H28&lt;=AD$6+6,$I28&gt;=AD$6),1,"")</f>
        <v/>
      </c>
      <c r="AE28" s="69" t="str">
        <f aca="false">IF(AND($H28&lt;=AE$6+6,$I28&gt;=AE$6),1,"")</f>
        <v/>
      </c>
      <c r="AF28" s="69" t="str">
        <f aca="false">IF(AND($H28&lt;=AF$6+6,$I28&gt;=AF$6),1,"")</f>
        <v/>
      </c>
      <c r="AG28" s="69" t="str">
        <f aca="false">IF(AND($H28&lt;=AG$6+6,$I28&gt;=AG$6),1,"")</f>
        <v/>
      </c>
      <c r="AH28" s="69" t="str">
        <f aca="false">IF(AND($H28&lt;=AH$6+6,$I28&gt;=AH$6),1,"")</f>
        <v/>
      </c>
      <c r="AI28" s="69" t="str">
        <f aca="false">IF(AND($H28&lt;=AI$6+6,$I28&gt;=AI$6),1,"")</f>
        <v/>
      </c>
      <c r="AJ28" s="69" t="str">
        <f aca="false">IF(AND($H28&lt;=AJ$6+6,$I28&gt;=AJ$6),1,"")</f>
        <v/>
      </c>
      <c r="AK28" s="69" t="str">
        <f aca="false">IF(AND($H28&lt;=AK$6+6,$I28&gt;=AK$6),1,"")</f>
        <v/>
      </c>
      <c r="AL28" s="69" t="str">
        <f aca="false">IF(AND($H28&lt;=AL$6+6,$I28&gt;=AL$6),1,"")</f>
        <v/>
      </c>
      <c r="AM28" s="69" t="str">
        <f aca="false">IF(AND($H28&lt;=AM$6+6,$I28&gt;=AM$6),1,"")</f>
        <v/>
      </c>
      <c r="AN28" s="69" t="str">
        <f aca="false">IF(AND($H28&lt;=AN$6+6,$I28&gt;=AN$6),1,"")</f>
        <v/>
      </c>
      <c r="AO28" s="69" t="str">
        <f aca="false">IF(AND($H28&lt;=AO$6+6,$I28&gt;=AO$6),1,"")</f>
        <v/>
      </c>
      <c r="AP28" s="69" t="str">
        <f aca="false">IF(AND($H28&lt;=AP$6+6,$I28&gt;=AP$6),1,"")</f>
        <v/>
      </c>
    </row>
    <row r="29" customFormat="false" ht="21.75" hidden="false" customHeight="true" outlineLevel="1" collapsed="false">
      <c r="A29" s="78" t="s">
        <v>241</v>
      </c>
      <c r="B29" s="79" t="n">
        <v>2</v>
      </c>
      <c r="C29" s="47" t="s">
        <v>242</v>
      </c>
      <c r="D29" s="47" t="s">
        <v>243</v>
      </c>
      <c r="E29" s="47" t="s">
        <v>244</v>
      </c>
      <c r="F29" s="79" t="s">
        <v>221</v>
      </c>
      <c r="G29" s="80" t="n">
        <v>4</v>
      </c>
      <c r="H29" s="81" t="n">
        <f aca="false">WORKDAY(MAX($I$23),1,Holidays)</f>
        <v>46352</v>
      </c>
      <c r="I29" s="81" t="n">
        <f aca="false">WORKDAY(H29,G29-1,Holidays)</f>
        <v>46357</v>
      </c>
      <c r="J29" s="82" t="n">
        <f aca="false">IF(StatusDate&lt;H29,0,MIN(1,NETWORKDAYS(H29,StatusDate,Holidays)/G29))</f>
        <v>1</v>
      </c>
      <c r="K29" s="83" t="n">
        <v>1</v>
      </c>
      <c r="L29" s="84" t="n">
        <f aca="false">K29-J29</f>
        <v>0</v>
      </c>
      <c r="M29" s="79" t="str">
        <f aca="false">IF(K29&gt;=1,"Complete",IF(StatusDate&gt;I29,"Overdue",IF(K29&gt;0,IF(K29&lt;J29-0.1,"Behind","In Progress"),IF(StatusDate&gt;H29,"Late Start","Not Started"))))</f>
        <v>Complete</v>
      </c>
      <c r="N29" s="80" t="n">
        <v>2</v>
      </c>
      <c r="O29" s="85" t="n">
        <f aca="false">G29*N29</f>
        <v>8</v>
      </c>
      <c r="P29" s="86" t="n">
        <f aca="false">O29*BlendedRate</f>
        <v>2.56</v>
      </c>
      <c r="Q29" s="86" t="n">
        <f aca="false">P29*J29</f>
        <v>2.56</v>
      </c>
      <c r="R29" s="86" t="n">
        <f aca="false">P29*K29</f>
        <v>2.56</v>
      </c>
      <c r="S29" s="87" t="n">
        <v>2.61</v>
      </c>
      <c r="T29" s="79" t="str">
        <f aca="false">"S"&amp;(INT((H29-ProjectStart)/SprintLen)+1)</f>
        <v>S3</v>
      </c>
      <c r="U29" s="47"/>
      <c r="V29" s="69" t="str">
        <f aca="false">IF(AND($H29&lt;=V$6+6,$I29&gt;=V$6),1,"")</f>
        <v/>
      </c>
      <c r="W29" s="69" t="str">
        <f aca="false">IF(AND($H29&lt;=W$6+6,$I29&gt;=W$6),1,"")</f>
        <v/>
      </c>
      <c r="X29" s="69" t="str">
        <f aca="false">IF(AND($H29&lt;=X$6+6,$I29&gt;=X$6),1,"")</f>
        <v/>
      </c>
      <c r="Y29" s="69" t="str">
        <f aca="false">IF(AND($H29&lt;=Y$6+6,$I29&gt;=Y$6),1,"")</f>
        <v/>
      </c>
      <c r="Z29" s="69" t="str">
        <f aca="false">IF(AND($H29&lt;=Z$6+6,$I29&gt;=Z$6),1,"")</f>
        <v/>
      </c>
      <c r="AA29" s="69" t="n">
        <f aca="false">IF(AND($H29&lt;=AA$6+6,$I29&gt;=AA$6),1,"")</f>
        <v>1</v>
      </c>
      <c r="AB29" s="69" t="n">
        <f aca="false">IF(AND($H29&lt;=AB$6+6,$I29&gt;=AB$6),1,"")</f>
        <v>1</v>
      </c>
      <c r="AC29" s="69" t="str">
        <f aca="false">IF(AND($H29&lt;=AC$6+6,$I29&gt;=AC$6),1,"")</f>
        <v/>
      </c>
      <c r="AD29" s="69" t="str">
        <f aca="false">IF(AND($H29&lt;=AD$6+6,$I29&gt;=AD$6),1,"")</f>
        <v/>
      </c>
      <c r="AE29" s="69" t="str">
        <f aca="false">IF(AND($H29&lt;=AE$6+6,$I29&gt;=AE$6),1,"")</f>
        <v/>
      </c>
      <c r="AF29" s="69" t="str">
        <f aca="false">IF(AND($H29&lt;=AF$6+6,$I29&gt;=AF$6),1,"")</f>
        <v/>
      </c>
      <c r="AG29" s="69" t="str">
        <f aca="false">IF(AND($H29&lt;=AG$6+6,$I29&gt;=AG$6),1,"")</f>
        <v/>
      </c>
      <c r="AH29" s="69" t="str">
        <f aca="false">IF(AND($H29&lt;=AH$6+6,$I29&gt;=AH$6),1,"")</f>
        <v/>
      </c>
      <c r="AI29" s="69" t="str">
        <f aca="false">IF(AND($H29&lt;=AI$6+6,$I29&gt;=AI$6),1,"")</f>
        <v/>
      </c>
      <c r="AJ29" s="69" t="str">
        <f aca="false">IF(AND($H29&lt;=AJ$6+6,$I29&gt;=AJ$6),1,"")</f>
        <v/>
      </c>
      <c r="AK29" s="69" t="str">
        <f aca="false">IF(AND($H29&lt;=AK$6+6,$I29&gt;=AK$6),1,"")</f>
        <v/>
      </c>
      <c r="AL29" s="69" t="str">
        <f aca="false">IF(AND($H29&lt;=AL$6+6,$I29&gt;=AL$6),1,"")</f>
        <v/>
      </c>
      <c r="AM29" s="69" t="str">
        <f aca="false">IF(AND($H29&lt;=AM$6+6,$I29&gt;=AM$6),1,"")</f>
        <v/>
      </c>
      <c r="AN29" s="69" t="str">
        <f aca="false">IF(AND($H29&lt;=AN$6+6,$I29&gt;=AN$6),1,"")</f>
        <v/>
      </c>
      <c r="AO29" s="69" t="str">
        <f aca="false">IF(AND($H29&lt;=AO$6+6,$I29&gt;=AO$6),1,"")</f>
        <v/>
      </c>
      <c r="AP29" s="69" t="str">
        <f aca="false">IF(AND($H29&lt;=AP$6+6,$I29&gt;=AP$6),1,"")</f>
        <v/>
      </c>
    </row>
    <row r="30" customFormat="false" ht="21.75" hidden="false" customHeight="true" outlineLevel="1" collapsed="false">
      <c r="A30" s="78" t="s">
        <v>245</v>
      </c>
      <c r="B30" s="79" t="n">
        <v>2</v>
      </c>
      <c r="C30" s="47" t="s">
        <v>246</v>
      </c>
      <c r="D30" s="47" t="s">
        <v>247</v>
      </c>
      <c r="E30" s="47" t="s">
        <v>248</v>
      </c>
      <c r="F30" s="79" t="s">
        <v>249</v>
      </c>
      <c r="G30" s="80" t="n">
        <v>3</v>
      </c>
      <c r="H30" s="81" t="n">
        <f aca="false">WORKDAY(MAX($I$28,$I$29),1,Holidays)</f>
        <v>46366</v>
      </c>
      <c r="I30" s="81" t="n">
        <f aca="false">WORKDAY(H30,G30-1,Holidays)</f>
        <v>46370</v>
      </c>
      <c r="J30" s="82" t="n">
        <f aca="false">IF(StatusDate&lt;H30,0,MIN(1,NETWORKDAYS(H30,StatusDate,Holidays)/G30))</f>
        <v>1</v>
      </c>
      <c r="K30" s="83" t="n">
        <v>1</v>
      </c>
      <c r="L30" s="84" t="n">
        <f aca="false">K30-J30</f>
        <v>0</v>
      </c>
      <c r="M30" s="79" t="str">
        <f aca="false">IF(K30&gt;=1,"Complete",IF(StatusDate&gt;I30,"Overdue",IF(K30&gt;0,IF(K30&lt;J30-0.1,"Behind","In Progress"),IF(StatusDate&gt;H30,"Late Start","Not Started"))))</f>
        <v>Complete</v>
      </c>
      <c r="N30" s="80" t="n">
        <v>2</v>
      </c>
      <c r="O30" s="85" t="n">
        <f aca="false">G30*N30</f>
        <v>6</v>
      </c>
      <c r="P30" s="86" t="n">
        <f aca="false">O30*BlendedRate</f>
        <v>1.92</v>
      </c>
      <c r="Q30" s="86" t="n">
        <f aca="false">P30*J30</f>
        <v>1.92</v>
      </c>
      <c r="R30" s="86" t="n">
        <f aca="false">P30*K30</f>
        <v>1.92</v>
      </c>
      <c r="S30" s="87" t="n">
        <v>1.96</v>
      </c>
      <c r="T30" s="79" t="str">
        <f aca="false">"S"&amp;(INT((H30-ProjectStart)/SprintLen)+1)</f>
        <v>S4</v>
      </c>
      <c r="U30" s="47"/>
      <c r="V30" s="69" t="str">
        <f aca="false">IF(AND($H30&lt;=V$6+6,$I30&gt;=V$6),1,"")</f>
        <v/>
      </c>
      <c r="W30" s="69" t="str">
        <f aca="false">IF(AND($H30&lt;=W$6+6,$I30&gt;=W$6),1,"")</f>
        <v/>
      </c>
      <c r="X30" s="69" t="str">
        <f aca="false">IF(AND($H30&lt;=X$6+6,$I30&gt;=X$6),1,"")</f>
        <v/>
      </c>
      <c r="Y30" s="69" t="str">
        <f aca="false">IF(AND($H30&lt;=Y$6+6,$I30&gt;=Y$6),1,"")</f>
        <v/>
      </c>
      <c r="Z30" s="69" t="str">
        <f aca="false">IF(AND($H30&lt;=Z$6+6,$I30&gt;=Z$6),1,"")</f>
        <v/>
      </c>
      <c r="AA30" s="69" t="str">
        <f aca="false">IF(AND($H30&lt;=AA$6+6,$I30&gt;=AA$6),1,"")</f>
        <v/>
      </c>
      <c r="AB30" s="69" t="str">
        <f aca="false">IF(AND($H30&lt;=AB$6+6,$I30&gt;=AB$6),1,"")</f>
        <v/>
      </c>
      <c r="AC30" s="69" t="n">
        <f aca="false">IF(AND($H30&lt;=AC$6+6,$I30&gt;=AC$6),1,"")</f>
        <v>1</v>
      </c>
      <c r="AD30" s="69" t="n">
        <f aca="false">IF(AND($H30&lt;=AD$6+6,$I30&gt;=AD$6),1,"")</f>
        <v>1</v>
      </c>
      <c r="AE30" s="69" t="str">
        <f aca="false">IF(AND($H30&lt;=AE$6+6,$I30&gt;=AE$6),1,"")</f>
        <v/>
      </c>
      <c r="AF30" s="69" t="str">
        <f aca="false">IF(AND($H30&lt;=AF$6+6,$I30&gt;=AF$6),1,"")</f>
        <v/>
      </c>
      <c r="AG30" s="69" t="str">
        <f aca="false">IF(AND($H30&lt;=AG$6+6,$I30&gt;=AG$6),1,"")</f>
        <v/>
      </c>
      <c r="AH30" s="69" t="str">
        <f aca="false">IF(AND($H30&lt;=AH$6+6,$I30&gt;=AH$6),1,"")</f>
        <v/>
      </c>
      <c r="AI30" s="69" t="str">
        <f aca="false">IF(AND($H30&lt;=AI$6+6,$I30&gt;=AI$6),1,"")</f>
        <v/>
      </c>
      <c r="AJ30" s="69" t="str">
        <f aca="false">IF(AND($H30&lt;=AJ$6+6,$I30&gt;=AJ$6),1,"")</f>
        <v/>
      </c>
      <c r="AK30" s="69" t="str">
        <f aca="false">IF(AND($H30&lt;=AK$6+6,$I30&gt;=AK$6),1,"")</f>
        <v/>
      </c>
      <c r="AL30" s="69" t="str">
        <f aca="false">IF(AND($H30&lt;=AL$6+6,$I30&gt;=AL$6),1,"")</f>
        <v/>
      </c>
      <c r="AM30" s="69" t="str">
        <f aca="false">IF(AND($H30&lt;=AM$6+6,$I30&gt;=AM$6),1,"")</f>
        <v/>
      </c>
      <c r="AN30" s="69" t="str">
        <f aca="false">IF(AND($H30&lt;=AN$6+6,$I30&gt;=AN$6),1,"")</f>
        <v/>
      </c>
      <c r="AO30" s="69" t="str">
        <f aca="false">IF(AND($H30&lt;=AO$6+6,$I30&gt;=AO$6),1,"")</f>
        <v/>
      </c>
      <c r="AP30" s="69" t="str">
        <f aca="false">IF(AND($H30&lt;=AP$6+6,$I30&gt;=AP$6),1,"")</f>
        <v/>
      </c>
    </row>
    <row r="31" customFormat="false" ht="21.75" hidden="false" customHeight="true" outlineLevel="1" collapsed="false">
      <c r="A31" s="88" t="s">
        <v>250</v>
      </c>
      <c r="B31" s="89" t="n">
        <v>2</v>
      </c>
      <c r="C31" s="90" t="s">
        <v>251</v>
      </c>
      <c r="D31" s="91" t="s">
        <v>252</v>
      </c>
      <c r="E31" s="91" t="s">
        <v>206</v>
      </c>
      <c r="F31" s="89" t="s">
        <v>253</v>
      </c>
      <c r="G31" s="89" t="n">
        <v>0</v>
      </c>
      <c r="H31" s="92" t="n">
        <f aca="false">I31</f>
        <v>46371</v>
      </c>
      <c r="I31" s="92" t="n">
        <f aca="false">WORKDAY(ProjectStart-1,40,Holidays)</f>
        <v>46371</v>
      </c>
      <c r="J31" s="93" t="n">
        <f aca="false">IF(StatusDate&gt;=I31,1,0)</f>
        <v>1</v>
      </c>
      <c r="K31" s="94" t="n">
        <v>1</v>
      </c>
      <c r="L31" s="95" t="n">
        <f aca="false">K31-J31</f>
        <v>0</v>
      </c>
      <c r="M31" s="89" t="str">
        <f aca="false">IF(K31&gt;=1,"Complete",IF(StatusDate&gt;I31,"Overdue",IF(K31&gt;0,IF(K31&lt;J31-0.1,"Behind","In Progress"),IF(StatusDate&gt;H31,"Late Start","Not Started"))))</f>
        <v>Complete</v>
      </c>
      <c r="N31" s="89"/>
      <c r="O31" s="96"/>
      <c r="P31" s="97"/>
      <c r="Q31" s="97"/>
      <c r="R31" s="97"/>
      <c r="S31" s="97"/>
      <c r="T31" s="89" t="str">
        <f aca="false">"S"&amp;(INT((H31-ProjectStart)/SprintLen)+1)</f>
        <v>S5</v>
      </c>
      <c r="U31" s="91" t="s">
        <v>208</v>
      </c>
      <c r="V31" s="98" t="str">
        <f aca="false">IF(AND($I31&gt;=V$6,$I31&lt;=V$6+6),"◆","")</f>
        <v/>
      </c>
      <c r="W31" s="98" t="str">
        <f aca="false">IF(AND($I31&gt;=W$6,$I31&lt;=W$6+6),"◆","")</f>
        <v/>
      </c>
      <c r="X31" s="98" t="str">
        <f aca="false">IF(AND($I31&gt;=X$6,$I31&lt;=X$6+6),"◆","")</f>
        <v/>
      </c>
      <c r="Y31" s="98" t="str">
        <f aca="false">IF(AND($I31&gt;=Y$6,$I31&lt;=Y$6+6),"◆","")</f>
        <v/>
      </c>
      <c r="Z31" s="98" t="str">
        <f aca="false">IF(AND($I31&gt;=Z$6,$I31&lt;=Z$6+6),"◆","")</f>
        <v/>
      </c>
      <c r="AA31" s="98" t="str">
        <f aca="false">IF(AND($I31&gt;=AA$6,$I31&lt;=AA$6+6),"◆","")</f>
        <v/>
      </c>
      <c r="AB31" s="98" t="str">
        <f aca="false">IF(AND($I31&gt;=AB$6,$I31&lt;=AB$6+6),"◆","")</f>
        <v/>
      </c>
      <c r="AC31" s="98" t="str">
        <f aca="false">IF(AND($I31&gt;=AC$6,$I31&lt;=AC$6+6),"◆","")</f>
        <v/>
      </c>
      <c r="AD31" s="98" t="str">
        <f aca="false">IF(AND($I31&gt;=AD$6,$I31&lt;=AD$6+6),"◆","")</f>
        <v>◆</v>
      </c>
      <c r="AE31" s="98" t="str">
        <f aca="false">IF(AND($I31&gt;=AE$6,$I31&lt;=AE$6+6),"◆","")</f>
        <v/>
      </c>
      <c r="AF31" s="98" t="str">
        <f aca="false">IF(AND($I31&gt;=AF$6,$I31&lt;=AF$6+6),"◆","")</f>
        <v/>
      </c>
      <c r="AG31" s="98" t="str">
        <f aca="false">IF(AND($I31&gt;=AG$6,$I31&lt;=AG$6+6),"◆","")</f>
        <v/>
      </c>
      <c r="AH31" s="98" t="str">
        <f aca="false">IF(AND($I31&gt;=AH$6,$I31&lt;=AH$6+6),"◆","")</f>
        <v/>
      </c>
      <c r="AI31" s="98" t="str">
        <f aca="false">IF(AND($I31&gt;=AI$6,$I31&lt;=AI$6+6),"◆","")</f>
        <v/>
      </c>
      <c r="AJ31" s="98" t="str">
        <f aca="false">IF(AND($I31&gt;=AJ$6,$I31&lt;=AJ$6+6),"◆","")</f>
        <v/>
      </c>
      <c r="AK31" s="98" t="str">
        <f aca="false">IF(AND($I31&gt;=AK$6,$I31&lt;=AK$6+6),"◆","")</f>
        <v/>
      </c>
      <c r="AL31" s="98" t="str">
        <f aca="false">IF(AND($I31&gt;=AL$6,$I31&lt;=AL$6+6),"◆","")</f>
        <v/>
      </c>
      <c r="AM31" s="98" t="str">
        <f aca="false">IF(AND($I31&gt;=AM$6,$I31&lt;=AM$6+6),"◆","")</f>
        <v/>
      </c>
      <c r="AN31" s="98" t="str">
        <f aca="false">IF(AND($I31&gt;=AN$6,$I31&lt;=AN$6+6),"◆","")</f>
        <v/>
      </c>
      <c r="AO31" s="98" t="str">
        <f aca="false">IF(AND($I31&gt;=AO$6,$I31&lt;=AO$6+6),"◆","")</f>
        <v/>
      </c>
      <c r="AP31" s="98" t="str">
        <f aca="false">IF(AND($I31&gt;=AP$6,$I31&lt;=AP$6+6),"◆","")</f>
        <v/>
      </c>
    </row>
    <row r="32" customFormat="false" ht="30" hidden="false" customHeight="true" outlineLevel="0" collapsed="false">
      <c r="A32" s="70" t="s">
        <v>254</v>
      </c>
      <c r="B32" s="71" t="n">
        <v>1</v>
      </c>
      <c r="C32" s="72" t="s">
        <v>255</v>
      </c>
      <c r="D32" s="72" t="s">
        <v>256</v>
      </c>
      <c r="E32" s="72" t="s">
        <v>163</v>
      </c>
      <c r="F32" s="71"/>
      <c r="G32" s="71" t="n">
        <f aca="false">NETWORKDAYS(H32,I32,Holidays)</f>
        <v>20</v>
      </c>
      <c r="H32" s="73" t="n">
        <f aca="false">MIN(H33:H43)</f>
        <v>46372</v>
      </c>
      <c r="I32" s="73" t="n">
        <f aca="false">MAX(I33:I43)</f>
        <v>46401</v>
      </c>
      <c r="J32" s="74" t="n">
        <f aca="false">IF(P32=0,0,Q32/P32)</f>
        <v>1</v>
      </c>
      <c r="K32" s="74" t="n">
        <f aca="false">IF(P32=0,0,R32/P32)</f>
        <v>0.844594594594595</v>
      </c>
      <c r="L32" s="75" t="n">
        <f aca="false">K32-J32</f>
        <v>-0.155405405405405</v>
      </c>
      <c r="M32" s="71" t="str">
        <f aca="false">IF(K32&gt;=1,"Complete",IF(StatusDate&gt;I32,"Overdue",IF(K32&gt;0,IF(K32&lt;J32-0.1,"Behind","In Progress"),IF(StatusDate&gt;H32,"Late Start","Not Started"))))</f>
        <v>Overdue</v>
      </c>
      <c r="N32" s="71" t="n">
        <f aca="false">MAX(N33:N43)</f>
        <v>3</v>
      </c>
      <c r="O32" s="76" t="n">
        <f aca="false">SUM(O33:O43)</f>
        <v>74</v>
      </c>
      <c r="P32" s="77" t="n">
        <f aca="false">SUM(P33:P43)</f>
        <v>23.68</v>
      </c>
      <c r="Q32" s="77" t="n">
        <f aca="false">SUM(Q33:Q43)</f>
        <v>23.68</v>
      </c>
      <c r="R32" s="77" t="n">
        <f aca="false">SUM(R33:R43)</f>
        <v>20</v>
      </c>
      <c r="S32" s="77" t="n">
        <f aca="false">SUM(S33:S43)</f>
        <v>22.28</v>
      </c>
      <c r="T32" s="71"/>
      <c r="U32" s="72" t="s">
        <v>257</v>
      </c>
      <c r="V32" s="69" t="str">
        <f aca="false">IF(AND($H32&lt;=V$6+6,$I32&gt;=V$6),1,"")</f>
        <v/>
      </c>
      <c r="W32" s="69" t="str">
        <f aca="false">IF(AND($H32&lt;=W$6+6,$I32&gt;=W$6),1,"")</f>
        <v/>
      </c>
      <c r="X32" s="69" t="str">
        <f aca="false">IF(AND($H32&lt;=X$6+6,$I32&gt;=X$6),1,"")</f>
        <v/>
      </c>
      <c r="Y32" s="69" t="str">
        <f aca="false">IF(AND($H32&lt;=Y$6+6,$I32&gt;=Y$6),1,"")</f>
        <v/>
      </c>
      <c r="Z32" s="69" t="str">
        <f aca="false">IF(AND($H32&lt;=Z$6+6,$I32&gt;=Z$6),1,"")</f>
        <v/>
      </c>
      <c r="AA32" s="69" t="str">
        <f aca="false">IF(AND($H32&lt;=AA$6+6,$I32&gt;=AA$6),1,"")</f>
        <v/>
      </c>
      <c r="AB32" s="69" t="str">
        <f aca="false">IF(AND($H32&lt;=AB$6+6,$I32&gt;=AB$6),1,"")</f>
        <v/>
      </c>
      <c r="AC32" s="69" t="str">
        <f aca="false">IF(AND($H32&lt;=AC$6+6,$I32&gt;=AC$6),1,"")</f>
        <v/>
      </c>
      <c r="AD32" s="69" t="n">
        <f aca="false">IF(AND($H32&lt;=AD$6+6,$I32&gt;=AD$6),1,"")</f>
        <v>1</v>
      </c>
      <c r="AE32" s="69" t="n">
        <f aca="false">IF(AND($H32&lt;=AE$6+6,$I32&gt;=AE$6),1,"")</f>
        <v>1</v>
      </c>
      <c r="AF32" s="69" t="n">
        <f aca="false">IF(AND($H32&lt;=AF$6+6,$I32&gt;=AF$6),1,"")</f>
        <v>1</v>
      </c>
      <c r="AG32" s="69" t="n">
        <f aca="false">IF(AND($H32&lt;=AG$6+6,$I32&gt;=AG$6),1,"")</f>
        <v>1</v>
      </c>
      <c r="AH32" s="69" t="n">
        <f aca="false">IF(AND($H32&lt;=AH$6+6,$I32&gt;=AH$6),1,"")</f>
        <v>1</v>
      </c>
      <c r="AI32" s="69" t="str">
        <f aca="false">IF(AND($H32&lt;=AI$6+6,$I32&gt;=AI$6),1,"")</f>
        <v/>
      </c>
      <c r="AJ32" s="69" t="str">
        <f aca="false">IF(AND($H32&lt;=AJ$6+6,$I32&gt;=AJ$6),1,"")</f>
        <v/>
      </c>
      <c r="AK32" s="69" t="str">
        <f aca="false">IF(AND($H32&lt;=AK$6+6,$I32&gt;=AK$6),1,"")</f>
        <v/>
      </c>
      <c r="AL32" s="69" t="str">
        <f aca="false">IF(AND($H32&lt;=AL$6+6,$I32&gt;=AL$6),1,"")</f>
        <v/>
      </c>
      <c r="AM32" s="69" t="str">
        <f aca="false">IF(AND($H32&lt;=AM$6+6,$I32&gt;=AM$6),1,"")</f>
        <v/>
      </c>
      <c r="AN32" s="69" t="str">
        <f aca="false">IF(AND($H32&lt;=AN$6+6,$I32&gt;=AN$6),1,"")</f>
        <v/>
      </c>
      <c r="AO32" s="69" t="str">
        <f aca="false">IF(AND($H32&lt;=AO$6+6,$I32&gt;=AO$6),1,"")</f>
        <v/>
      </c>
      <c r="AP32" s="69" t="str">
        <f aca="false">IF(AND($H32&lt;=AP$6+6,$I32&gt;=AP$6),1,"")</f>
        <v/>
      </c>
    </row>
    <row r="33" customFormat="false" ht="21.75" hidden="false" customHeight="true" outlineLevel="1" collapsed="false">
      <c r="A33" s="78" t="s">
        <v>258</v>
      </c>
      <c r="B33" s="79" t="n">
        <v>2</v>
      </c>
      <c r="C33" s="47" t="s">
        <v>259</v>
      </c>
      <c r="D33" s="47" t="s">
        <v>260</v>
      </c>
      <c r="E33" s="47" t="s">
        <v>182</v>
      </c>
      <c r="F33" s="79" t="s">
        <v>250</v>
      </c>
      <c r="G33" s="80" t="n">
        <v>3</v>
      </c>
      <c r="H33" s="81" t="n">
        <f aca="false">WORKDAY(MAX($I$31),1,Holidays)</f>
        <v>46372</v>
      </c>
      <c r="I33" s="81" t="n">
        <f aca="false">WORKDAY(H33,G33-1,Holidays)</f>
        <v>46374</v>
      </c>
      <c r="J33" s="82" t="n">
        <f aca="false">IF(StatusDate&lt;H33,0,MIN(1,NETWORKDAYS(H33,StatusDate,Holidays)/G33))</f>
        <v>1</v>
      </c>
      <c r="K33" s="83" t="n">
        <v>1</v>
      </c>
      <c r="L33" s="84" t="n">
        <f aca="false">K33-J33</f>
        <v>0</v>
      </c>
      <c r="M33" s="79" t="str">
        <f aca="false">IF(K33&gt;=1,"Complete",IF(StatusDate&gt;I33,"Overdue",IF(K33&gt;0,IF(K33&lt;J33-0.1,"Behind","In Progress"),IF(StatusDate&gt;H33,"Late Start","Not Started"))))</f>
        <v>Complete</v>
      </c>
      <c r="N33" s="80" t="n">
        <v>2</v>
      </c>
      <c r="O33" s="85" t="n">
        <f aca="false">G33*N33</f>
        <v>6</v>
      </c>
      <c r="P33" s="86" t="n">
        <f aca="false">O33*BlendedRate</f>
        <v>1.92</v>
      </c>
      <c r="Q33" s="86" t="n">
        <f aca="false">P33*J33</f>
        <v>1.92</v>
      </c>
      <c r="R33" s="86" t="n">
        <f aca="false">P33*K33</f>
        <v>1.92</v>
      </c>
      <c r="S33" s="87" t="n">
        <v>2</v>
      </c>
      <c r="T33" s="79" t="str">
        <f aca="false">"S"&amp;(INT((H33-ProjectStart)/SprintLen)+1)</f>
        <v>S5</v>
      </c>
      <c r="U33" s="47"/>
      <c r="V33" s="69" t="str">
        <f aca="false">IF(AND($H33&lt;=V$6+6,$I33&gt;=V$6),1,"")</f>
        <v/>
      </c>
      <c r="W33" s="69" t="str">
        <f aca="false">IF(AND($H33&lt;=W$6+6,$I33&gt;=W$6),1,"")</f>
        <v/>
      </c>
      <c r="X33" s="69" t="str">
        <f aca="false">IF(AND($H33&lt;=X$6+6,$I33&gt;=X$6),1,"")</f>
        <v/>
      </c>
      <c r="Y33" s="69" t="str">
        <f aca="false">IF(AND($H33&lt;=Y$6+6,$I33&gt;=Y$6),1,"")</f>
        <v/>
      </c>
      <c r="Z33" s="69" t="str">
        <f aca="false">IF(AND($H33&lt;=Z$6+6,$I33&gt;=Z$6),1,"")</f>
        <v/>
      </c>
      <c r="AA33" s="69" t="str">
        <f aca="false">IF(AND($H33&lt;=AA$6+6,$I33&gt;=AA$6),1,"")</f>
        <v/>
      </c>
      <c r="AB33" s="69" t="str">
        <f aca="false">IF(AND($H33&lt;=AB$6+6,$I33&gt;=AB$6),1,"")</f>
        <v/>
      </c>
      <c r="AC33" s="69" t="str">
        <f aca="false">IF(AND($H33&lt;=AC$6+6,$I33&gt;=AC$6),1,"")</f>
        <v/>
      </c>
      <c r="AD33" s="69" t="n">
        <f aca="false">IF(AND($H33&lt;=AD$6+6,$I33&gt;=AD$6),1,"")</f>
        <v>1</v>
      </c>
      <c r="AE33" s="69" t="str">
        <f aca="false">IF(AND($H33&lt;=AE$6+6,$I33&gt;=AE$6),1,"")</f>
        <v/>
      </c>
      <c r="AF33" s="69" t="str">
        <f aca="false">IF(AND($H33&lt;=AF$6+6,$I33&gt;=AF$6),1,"")</f>
        <v/>
      </c>
      <c r="AG33" s="69" t="str">
        <f aca="false">IF(AND($H33&lt;=AG$6+6,$I33&gt;=AG$6),1,"")</f>
        <v/>
      </c>
      <c r="AH33" s="69" t="str">
        <f aca="false">IF(AND($H33&lt;=AH$6+6,$I33&gt;=AH$6),1,"")</f>
        <v/>
      </c>
      <c r="AI33" s="69" t="str">
        <f aca="false">IF(AND($H33&lt;=AI$6+6,$I33&gt;=AI$6),1,"")</f>
        <v/>
      </c>
      <c r="AJ33" s="69" t="str">
        <f aca="false">IF(AND($H33&lt;=AJ$6+6,$I33&gt;=AJ$6),1,"")</f>
        <v/>
      </c>
      <c r="AK33" s="69" t="str">
        <f aca="false">IF(AND($H33&lt;=AK$6+6,$I33&gt;=AK$6),1,"")</f>
        <v/>
      </c>
      <c r="AL33" s="69" t="str">
        <f aca="false">IF(AND($H33&lt;=AL$6+6,$I33&gt;=AL$6),1,"")</f>
        <v/>
      </c>
      <c r="AM33" s="69" t="str">
        <f aca="false">IF(AND($H33&lt;=AM$6+6,$I33&gt;=AM$6),1,"")</f>
        <v/>
      </c>
      <c r="AN33" s="69" t="str">
        <f aca="false">IF(AND($H33&lt;=AN$6+6,$I33&gt;=AN$6),1,"")</f>
        <v/>
      </c>
      <c r="AO33" s="69" t="str">
        <f aca="false">IF(AND($H33&lt;=AO$6+6,$I33&gt;=AO$6),1,"")</f>
        <v/>
      </c>
      <c r="AP33" s="69" t="str">
        <f aca="false">IF(AND($H33&lt;=AP$6+6,$I33&gt;=AP$6),1,"")</f>
        <v/>
      </c>
    </row>
    <row r="34" customFormat="false" ht="21.75" hidden="false" customHeight="true" outlineLevel="1" collapsed="false">
      <c r="A34" s="78" t="s">
        <v>261</v>
      </c>
      <c r="B34" s="79" t="n">
        <v>2</v>
      </c>
      <c r="C34" s="47" t="s">
        <v>262</v>
      </c>
      <c r="D34" s="47" t="s">
        <v>263</v>
      </c>
      <c r="E34" s="47" t="s">
        <v>182</v>
      </c>
      <c r="F34" s="79" t="s">
        <v>258</v>
      </c>
      <c r="G34" s="80" t="n">
        <v>4</v>
      </c>
      <c r="H34" s="81" t="n">
        <f aca="false">WORKDAY(MAX($I$33),1,Holidays)</f>
        <v>46377</v>
      </c>
      <c r="I34" s="81" t="n">
        <f aca="false">WORKDAY(H34,G34-1,Holidays)</f>
        <v>46380</v>
      </c>
      <c r="J34" s="82" t="n">
        <f aca="false">IF(StatusDate&lt;H34,0,MIN(1,NETWORKDAYS(H34,StatusDate,Holidays)/G34))</f>
        <v>1</v>
      </c>
      <c r="K34" s="83" t="n">
        <v>1</v>
      </c>
      <c r="L34" s="84" t="n">
        <f aca="false">K34-J34</f>
        <v>0</v>
      </c>
      <c r="M34" s="79" t="str">
        <f aca="false">IF(K34&gt;=1,"Complete",IF(StatusDate&gt;I34,"Overdue",IF(K34&gt;0,IF(K34&lt;J34-0.1,"Behind","In Progress"),IF(StatusDate&gt;H34,"Late Start","Not Started"))))</f>
        <v>Complete</v>
      </c>
      <c r="N34" s="80" t="n">
        <v>2</v>
      </c>
      <c r="O34" s="85" t="n">
        <f aca="false">G34*N34</f>
        <v>8</v>
      </c>
      <c r="P34" s="86" t="n">
        <f aca="false">O34*BlendedRate</f>
        <v>2.56</v>
      </c>
      <c r="Q34" s="86" t="n">
        <f aca="false">P34*J34</f>
        <v>2.56</v>
      </c>
      <c r="R34" s="86" t="n">
        <f aca="false">P34*K34</f>
        <v>2.56</v>
      </c>
      <c r="S34" s="87" t="n">
        <v>2.76</v>
      </c>
      <c r="T34" s="79" t="str">
        <f aca="false">"S"&amp;(INT((H34-ProjectStart)/SprintLen)+1)</f>
        <v>S5</v>
      </c>
      <c r="U34" s="47"/>
      <c r="V34" s="69" t="str">
        <f aca="false">IF(AND($H34&lt;=V$6+6,$I34&gt;=V$6),1,"")</f>
        <v/>
      </c>
      <c r="W34" s="69" t="str">
        <f aca="false">IF(AND($H34&lt;=W$6+6,$I34&gt;=W$6),1,"")</f>
        <v/>
      </c>
      <c r="X34" s="69" t="str">
        <f aca="false">IF(AND($H34&lt;=X$6+6,$I34&gt;=X$6),1,"")</f>
        <v/>
      </c>
      <c r="Y34" s="69" t="str">
        <f aca="false">IF(AND($H34&lt;=Y$6+6,$I34&gt;=Y$6),1,"")</f>
        <v/>
      </c>
      <c r="Z34" s="69" t="str">
        <f aca="false">IF(AND($H34&lt;=Z$6+6,$I34&gt;=Z$6),1,"")</f>
        <v/>
      </c>
      <c r="AA34" s="69" t="str">
        <f aca="false">IF(AND($H34&lt;=AA$6+6,$I34&gt;=AA$6),1,"")</f>
        <v/>
      </c>
      <c r="AB34" s="69" t="str">
        <f aca="false">IF(AND($H34&lt;=AB$6+6,$I34&gt;=AB$6),1,"")</f>
        <v/>
      </c>
      <c r="AC34" s="69" t="str">
        <f aca="false">IF(AND($H34&lt;=AC$6+6,$I34&gt;=AC$6),1,"")</f>
        <v/>
      </c>
      <c r="AD34" s="69" t="str">
        <f aca="false">IF(AND($H34&lt;=AD$6+6,$I34&gt;=AD$6),1,"")</f>
        <v/>
      </c>
      <c r="AE34" s="69" t="n">
        <f aca="false">IF(AND($H34&lt;=AE$6+6,$I34&gt;=AE$6),1,"")</f>
        <v>1</v>
      </c>
      <c r="AF34" s="69" t="str">
        <f aca="false">IF(AND($H34&lt;=AF$6+6,$I34&gt;=AF$6),1,"")</f>
        <v/>
      </c>
      <c r="AG34" s="69" t="str">
        <f aca="false">IF(AND($H34&lt;=AG$6+6,$I34&gt;=AG$6),1,"")</f>
        <v/>
      </c>
      <c r="AH34" s="69" t="str">
        <f aca="false">IF(AND($H34&lt;=AH$6+6,$I34&gt;=AH$6),1,"")</f>
        <v/>
      </c>
      <c r="AI34" s="69" t="str">
        <f aca="false">IF(AND($H34&lt;=AI$6+6,$I34&gt;=AI$6),1,"")</f>
        <v/>
      </c>
      <c r="AJ34" s="69" t="str">
        <f aca="false">IF(AND($H34&lt;=AJ$6+6,$I34&gt;=AJ$6),1,"")</f>
        <v/>
      </c>
      <c r="AK34" s="69" t="str">
        <f aca="false">IF(AND($H34&lt;=AK$6+6,$I34&gt;=AK$6),1,"")</f>
        <v/>
      </c>
      <c r="AL34" s="69" t="str">
        <f aca="false">IF(AND($H34&lt;=AL$6+6,$I34&gt;=AL$6),1,"")</f>
        <v/>
      </c>
      <c r="AM34" s="69" t="str">
        <f aca="false">IF(AND($H34&lt;=AM$6+6,$I34&gt;=AM$6),1,"")</f>
        <v/>
      </c>
      <c r="AN34" s="69" t="str">
        <f aca="false">IF(AND($H34&lt;=AN$6+6,$I34&gt;=AN$6),1,"")</f>
        <v/>
      </c>
      <c r="AO34" s="69" t="str">
        <f aca="false">IF(AND($H34&lt;=AO$6+6,$I34&gt;=AO$6),1,"")</f>
        <v/>
      </c>
      <c r="AP34" s="69" t="str">
        <f aca="false">IF(AND($H34&lt;=AP$6+6,$I34&gt;=AP$6),1,"")</f>
        <v/>
      </c>
    </row>
    <row r="35" customFormat="false" ht="21.75" hidden="false" customHeight="true" outlineLevel="1" collapsed="false">
      <c r="A35" s="78" t="s">
        <v>264</v>
      </c>
      <c r="B35" s="79" t="n">
        <v>2</v>
      </c>
      <c r="C35" s="47" t="s">
        <v>265</v>
      </c>
      <c r="D35" s="47" t="s">
        <v>266</v>
      </c>
      <c r="E35" s="47" t="s">
        <v>182</v>
      </c>
      <c r="F35" s="79" t="s">
        <v>261</v>
      </c>
      <c r="G35" s="80" t="n">
        <v>3</v>
      </c>
      <c r="H35" s="81" t="n">
        <f aca="false">WORKDAY(MAX($I$34),1,Holidays)</f>
        <v>46384</v>
      </c>
      <c r="I35" s="81" t="n">
        <f aca="false">WORKDAY(H35,G35-1,Holidays)</f>
        <v>46386</v>
      </c>
      <c r="J35" s="82" t="n">
        <f aca="false">IF(StatusDate&lt;H35,0,MIN(1,NETWORKDAYS(H35,StatusDate,Holidays)/G35))</f>
        <v>1</v>
      </c>
      <c r="K35" s="83" t="n">
        <v>1</v>
      </c>
      <c r="L35" s="84" t="n">
        <f aca="false">K35-J35</f>
        <v>0</v>
      </c>
      <c r="M35" s="79" t="str">
        <f aca="false">IF(K35&gt;=1,"Complete",IF(StatusDate&gt;I35,"Overdue",IF(K35&gt;0,IF(K35&lt;J35-0.1,"Behind","In Progress"),IF(StatusDate&gt;H35,"Late Start","Not Started"))))</f>
        <v>Complete</v>
      </c>
      <c r="N35" s="80" t="n">
        <v>2</v>
      </c>
      <c r="O35" s="85" t="n">
        <f aca="false">G35*N35</f>
        <v>6</v>
      </c>
      <c r="P35" s="86" t="n">
        <f aca="false">O35*BlendedRate</f>
        <v>1.92</v>
      </c>
      <c r="Q35" s="86" t="n">
        <f aca="false">P35*J35</f>
        <v>1.92</v>
      </c>
      <c r="R35" s="86" t="n">
        <f aca="false">P35*K35</f>
        <v>1.92</v>
      </c>
      <c r="S35" s="87" t="n">
        <v>2</v>
      </c>
      <c r="T35" s="79" t="str">
        <f aca="false">"S"&amp;(INT((H35-ProjectStart)/SprintLen)+1)</f>
        <v>S6</v>
      </c>
      <c r="U35" s="47"/>
      <c r="V35" s="69" t="str">
        <f aca="false">IF(AND($H35&lt;=V$6+6,$I35&gt;=V$6),1,"")</f>
        <v/>
      </c>
      <c r="W35" s="69" t="str">
        <f aca="false">IF(AND($H35&lt;=W$6+6,$I35&gt;=W$6),1,"")</f>
        <v/>
      </c>
      <c r="X35" s="69" t="str">
        <f aca="false">IF(AND($H35&lt;=X$6+6,$I35&gt;=X$6),1,"")</f>
        <v/>
      </c>
      <c r="Y35" s="69" t="str">
        <f aca="false">IF(AND($H35&lt;=Y$6+6,$I35&gt;=Y$6),1,"")</f>
        <v/>
      </c>
      <c r="Z35" s="69" t="str">
        <f aca="false">IF(AND($H35&lt;=Z$6+6,$I35&gt;=Z$6),1,"")</f>
        <v/>
      </c>
      <c r="AA35" s="69" t="str">
        <f aca="false">IF(AND($H35&lt;=AA$6+6,$I35&gt;=AA$6),1,"")</f>
        <v/>
      </c>
      <c r="AB35" s="69" t="str">
        <f aca="false">IF(AND($H35&lt;=AB$6+6,$I35&gt;=AB$6),1,"")</f>
        <v/>
      </c>
      <c r="AC35" s="69" t="str">
        <f aca="false">IF(AND($H35&lt;=AC$6+6,$I35&gt;=AC$6),1,"")</f>
        <v/>
      </c>
      <c r="AD35" s="69" t="str">
        <f aca="false">IF(AND($H35&lt;=AD$6+6,$I35&gt;=AD$6),1,"")</f>
        <v/>
      </c>
      <c r="AE35" s="69" t="str">
        <f aca="false">IF(AND($H35&lt;=AE$6+6,$I35&gt;=AE$6),1,"")</f>
        <v/>
      </c>
      <c r="AF35" s="69" t="n">
        <f aca="false">IF(AND($H35&lt;=AF$6+6,$I35&gt;=AF$6),1,"")</f>
        <v>1</v>
      </c>
      <c r="AG35" s="69" t="str">
        <f aca="false">IF(AND($H35&lt;=AG$6+6,$I35&gt;=AG$6),1,"")</f>
        <v/>
      </c>
      <c r="AH35" s="69" t="str">
        <f aca="false">IF(AND($H35&lt;=AH$6+6,$I35&gt;=AH$6),1,"")</f>
        <v/>
      </c>
      <c r="AI35" s="69" t="str">
        <f aca="false">IF(AND($H35&lt;=AI$6+6,$I35&gt;=AI$6),1,"")</f>
        <v/>
      </c>
      <c r="AJ35" s="69" t="str">
        <f aca="false">IF(AND($H35&lt;=AJ$6+6,$I35&gt;=AJ$6),1,"")</f>
        <v/>
      </c>
      <c r="AK35" s="69" t="str">
        <f aca="false">IF(AND($H35&lt;=AK$6+6,$I35&gt;=AK$6),1,"")</f>
        <v/>
      </c>
      <c r="AL35" s="69" t="str">
        <f aca="false">IF(AND($H35&lt;=AL$6+6,$I35&gt;=AL$6),1,"")</f>
        <v/>
      </c>
      <c r="AM35" s="69" t="str">
        <f aca="false">IF(AND($H35&lt;=AM$6+6,$I35&gt;=AM$6),1,"")</f>
        <v/>
      </c>
      <c r="AN35" s="69" t="str">
        <f aca="false">IF(AND($H35&lt;=AN$6+6,$I35&gt;=AN$6),1,"")</f>
        <v/>
      </c>
      <c r="AO35" s="69" t="str">
        <f aca="false">IF(AND($H35&lt;=AO$6+6,$I35&gt;=AO$6),1,"")</f>
        <v/>
      </c>
      <c r="AP35" s="69" t="str">
        <f aca="false">IF(AND($H35&lt;=AP$6+6,$I35&gt;=AP$6),1,"")</f>
        <v/>
      </c>
    </row>
    <row r="36" customFormat="false" ht="21.75" hidden="false" customHeight="true" outlineLevel="1" collapsed="false">
      <c r="A36" s="78" t="s">
        <v>267</v>
      </c>
      <c r="B36" s="79" t="n">
        <v>2</v>
      </c>
      <c r="C36" s="47" t="s">
        <v>268</v>
      </c>
      <c r="D36" s="47" t="s">
        <v>269</v>
      </c>
      <c r="E36" s="47" t="s">
        <v>270</v>
      </c>
      <c r="F36" s="79" t="s">
        <v>261</v>
      </c>
      <c r="G36" s="80" t="n">
        <v>4</v>
      </c>
      <c r="H36" s="81" t="n">
        <f aca="false">WORKDAY(MAX($I$34),1,Holidays)</f>
        <v>46384</v>
      </c>
      <c r="I36" s="81" t="n">
        <f aca="false">WORKDAY(H36,G36-1,Holidays)</f>
        <v>46387</v>
      </c>
      <c r="J36" s="82" t="n">
        <f aca="false">IF(StatusDate&lt;H36,0,MIN(1,NETWORKDAYS(H36,StatusDate,Holidays)/G36))</f>
        <v>1</v>
      </c>
      <c r="K36" s="83" t="n">
        <v>1</v>
      </c>
      <c r="L36" s="84" t="n">
        <f aca="false">K36-J36</f>
        <v>0</v>
      </c>
      <c r="M36" s="79" t="str">
        <f aca="false">IF(K36&gt;=1,"Complete",IF(StatusDate&gt;I36,"Overdue",IF(K36&gt;0,IF(K36&lt;J36-0.1,"Behind","In Progress"),IF(StatusDate&gt;H36,"Late Start","Not Started"))))</f>
        <v>Complete</v>
      </c>
      <c r="N36" s="80" t="n">
        <v>3</v>
      </c>
      <c r="O36" s="85" t="n">
        <f aca="false">G36*N36</f>
        <v>12</v>
      </c>
      <c r="P36" s="86" t="n">
        <f aca="false">O36*BlendedRate</f>
        <v>3.84</v>
      </c>
      <c r="Q36" s="86" t="n">
        <f aca="false">P36*J36</f>
        <v>3.84</v>
      </c>
      <c r="R36" s="86" t="n">
        <f aca="false">P36*K36</f>
        <v>3.84</v>
      </c>
      <c r="S36" s="87" t="n">
        <v>4.53</v>
      </c>
      <c r="T36" s="79" t="str">
        <f aca="false">"S"&amp;(INT((H36-ProjectStart)/SprintLen)+1)</f>
        <v>S6</v>
      </c>
      <c r="U36" s="47"/>
      <c r="V36" s="69" t="str">
        <f aca="false">IF(AND($H36&lt;=V$6+6,$I36&gt;=V$6),1,"")</f>
        <v/>
      </c>
      <c r="W36" s="69" t="str">
        <f aca="false">IF(AND($H36&lt;=W$6+6,$I36&gt;=W$6),1,"")</f>
        <v/>
      </c>
      <c r="X36" s="69" t="str">
        <f aca="false">IF(AND($H36&lt;=X$6+6,$I36&gt;=X$6),1,"")</f>
        <v/>
      </c>
      <c r="Y36" s="69" t="str">
        <f aca="false">IF(AND($H36&lt;=Y$6+6,$I36&gt;=Y$6),1,"")</f>
        <v/>
      </c>
      <c r="Z36" s="69" t="str">
        <f aca="false">IF(AND($H36&lt;=Z$6+6,$I36&gt;=Z$6),1,"")</f>
        <v/>
      </c>
      <c r="AA36" s="69" t="str">
        <f aca="false">IF(AND($H36&lt;=AA$6+6,$I36&gt;=AA$6),1,"")</f>
        <v/>
      </c>
      <c r="AB36" s="69" t="str">
        <f aca="false">IF(AND($H36&lt;=AB$6+6,$I36&gt;=AB$6),1,"")</f>
        <v/>
      </c>
      <c r="AC36" s="69" t="str">
        <f aca="false">IF(AND($H36&lt;=AC$6+6,$I36&gt;=AC$6),1,"")</f>
        <v/>
      </c>
      <c r="AD36" s="69" t="str">
        <f aca="false">IF(AND($H36&lt;=AD$6+6,$I36&gt;=AD$6),1,"")</f>
        <v/>
      </c>
      <c r="AE36" s="69" t="str">
        <f aca="false">IF(AND($H36&lt;=AE$6+6,$I36&gt;=AE$6),1,"")</f>
        <v/>
      </c>
      <c r="AF36" s="69" t="n">
        <f aca="false">IF(AND($H36&lt;=AF$6+6,$I36&gt;=AF$6),1,"")</f>
        <v>1</v>
      </c>
      <c r="AG36" s="69" t="str">
        <f aca="false">IF(AND($H36&lt;=AG$6+6,$I36&gt;=AG$6),1,"")</f>
        <v/>
      </c>
      <c r="AH36" s="69" t="str">
        <f aca="false">IF(AND($H36&lt;=AH$6+6,$I36&gt;=AH$6),1,"")</f>
        <v/>
      </c>
      <c r="AI36" s="69" t="str">
        <f aca="false">IF(AND($H36&lt;=AI$6+6,$I36&gt;=AI$6),1,"")</f>
        <v/>
      </c>
      <c r="AJ36" s="69" t="str">
        <f aca="false">IF(AND($H36&lt;=AJ$6+6,$I36&gt;=AJ$6),1,"")</f>
        <v/>
      </c>
      <c r="AK36" s="69" t="str">
        <f aca="false">IF(AND($H36&lt;=AK$6+6,$I36&gt;=AK$6),1,"")</f>
        <v/>
      </c>
      <c r="AL36" s="69" t="str">
        <f aca="false">IF(AND($H36&lt;=AL$6+6,$I36&gt;=AL$6),1,"")</f>
        <v/>
      </c>
      <c r="AM36" s="69" t="str">
        <f aca="false">IF(AND($H36&lt;=AM$6+6,$I36&gt;=AM$6),1,"")</f>
        <v/>
      </c>
      <c r="AN36" s="69" t="str">
        <f aca="false">IF(AND($H36&lt;=AN$6+6,$I36&gt;=AN$6),1,"")</f>
        <v/>
      </c>
      <c r="AO36" s="69" t="str">
        <f aca="false">IF(AND($H36&lt;=AO$6+6,$I36&gt;=AO$6),1,"")</f>
        <v/>
      </c>
      <c r="AP36" s="69" t="str">
        <f aca="false">IF(AND($H36&lt;=AP$6+6,$I36&gt;=AP$6),1,"")</f>
        <v/>
      </c>
    </row>
    <row r="37" customFormat="false" ht="21.75" hidden="false" customHeight="true" outlineLevel="1" collapsed="false">
      <c r="A37" s="78" t="s">
        <v>271</v>
      </c>
      <c r="B37" s="79" t="n">
        <v>2</v>
      </c>
      <c r="C37" s="47" t="s">
        <v>272</v>
      </c>
      <c r="D37" s="47" t="s">
        <v>273</v>
      </c>
      <c r="E37" s="47" t="s">
        <v>274</v>
      </c>
      <c r="F37" s="79" t="s">
        <v>261</v>
      </c>
      <c r="G37" s="80" t="n">
        <v>4</v>
      </c>
      <c r="H37" s="81" t="n">
        <f aca="false">WORKDAY(MAX($I$34),1,Holidays)</f>
        <v>46384</v>
      </c>
      <c r="I37" s="81" t="n">
        <f aca="false">WORKDAY(H37,G37-1,Holidays)</f>
        <v>46387</v>
      </c>
      <c r="J37" s="82" t="n">
        <f aca="false">IF(StatusDate&lt;H37,0,MIN(1,NETWORKDAYS(H37,StatusDate,Holidays)/G37))</f>
        <v>1</v>
      </c>
      <c r="K37" s="83" t="n">
        <v>0.7</v>
      </c>
      <c r="L37" s="84" t="n">
        <f aca="false">K37-J37</f>
        <v>-0.3</v>
      </c>
      <c r="M37" s="79" t="str">
        <f aca="false">IF(K37&gt;=1,"Complete",IF(StatusDate&gt;I37,"Overdue",IF(K37&gt;0,IF(K37&lt;J37-0.1,"Behind","In Progress"),IF(StatusDate&gt;H37,"Late Start","Not Started"))))</f>
        <v>Overdue</v>
      </c>
      <c r="N37" s="80" t="n">
        <v>3</v>
      </c>
      <c r="O37" s="85" t="n">
        <f aca="false">G37*N37</f>
        <v>12</v>
      </c>
      <c r="P37" s="86" t="n">
        <f aca="false">O37*BlendedRate</f>
        <v>3.84</v>
      </c>
      <c r="Q37" s="86" t="n">
        <f aca="false">P37*J37</f>
        <v>3.84</v>
      </c>
      <c r="R37" s="86" t="n">
        <f aca="false">P37*K37</f>
        <v>2.688</v>
      </c>
      <c r="S37" s="87" t="n">
        <v>3.63</v>
      </c>
      <c r="T37" s="79" t="str">
        <f aca="false">"S"&amp;(INT((H37-ProjectStart)/SprintLen)+1)</f>
        <v>S6</v>
      </c>
      <c r="U37" s="47"/>
      <c r="V37" s="69" t="str">
        <f aca="false">IF(AND($H37&lt;=V$6+6,$I37&gt;=V$6),1,"")</f>
        <v/>
      </c>
      <c r="W37" s="69" t="str">
        <f aca="false">IF(AND($H37&lt;=W$6+6,$I37&gt;=W$6),1,"")</f>
        <v/>
      </c>
      <c r="X37" s="69" t="str">
        <f aca="false">IF(AND($H37&lt;=X$6+6,$I37&gt;=X$6),1,"")</f>
        <v/>
      </c>
      <c r="Y37" s="69" t="str">
        <f aca="false">IF(AND($H37&lt;=Y$6+6,$I37&gt;=Y$6),1,"")</f>
        <v/>
      </c>
      <c r="Z37" s="69" t="str">
        <f aca="false">IF(AND($H37&lt;=Z$6+6,$I37&gt;=Z$6),1,"")</f>
        <v/>
      </c>
      <c r="AA37" s="69" t="str">
        <f aca="false">IF(AND($H37&lt;=AA$6+6,$I37&gt;=AA$6),1,"")</f>
        <v/>
      </c>
      <c r="AB37" s="69" t="str">
        <f aca="false">IF(AND($H37&lt;=AB$6+6,$I37&gt;=AB$6),1,"")</f>
        <v/>
      </c>
      <c r="AC37" s="69" t="str">
        <f aca="false">IF(AND($H37&lt;=AC$6+6,$I37&gt;=AC$6),1,"")</f>
        <v/>
      </c>
      <c r="AD37" s="69" t="str">
        <f aca="false">IF(AND($H37&lt;=AD$6+6,$I37&gt;=AD$6),1,"")</f>
        <v/>
      </c>
      <c r="AE37" s="69" t="str">
        <f aca="false">IF(AND($H37&lt;=AE$6+6,$I37&gt;=AE$6),1,"")</f>
        <v/>
      </c>
      <c r="AF37" s="69" t="n">
        <f aca="false">IF(AND($H37&lt;=AF$6+6,$I37&gt;=AF$6),1,"")</f>
        <v>1</v>
      </c>
      <c r="AG37" s="69" t="str">
        <f aca="false">IF(AND($H37&lt;=AG$6+6,$I37&gt;=AG$6),1,"")</f>
        <v/>
      </c>
      <c r="AH37" s="69" t="str">
        <f aca="false">IF(AND($H37&lt;=AH$6+6,$I37&gt;=AH$6),1,"")</f>
        <v/>
      </c>
      <c r="AI37" s="69" t="str">
        <f aca="false">IF(AND($H37&lt;=AI$6+6,$I37&gt;=AI$6),1,"")</f>
        <v/>
      </c>
      <c r="AJ37" s="69" t="str">
        <f aca="false">IF(AND($H37&lt;=AJ$6+6,$I37&gt;=AJ$6),1,"")</f>
        <v/>
      </c>
      <c r="AK37" s="69" t="str">
        <f aca="false">IF(AND($H37&lt;=AK$6+6,$I37&gt;=AK$6),1,"")</f>
        <v/>
      </c>
      <c r="AL37" s="69" t="str">
        <f aca="false">IF(AND($H37&lt;=AL$6+6,$I37&gt;=AL$6),1,"")</f>
        <v/>
      </c>
      <c r="AM37" s="69" t="str">
        <f aca="false">IF(AND($H37&lt;=AM$6+6,$I37&gt;=AM$6),1,"")</f>
        <v/>
      </c>
      <c r="AN37" s="69" t="str">
        <f aca="false">IF(AND($H37&lt;=AN$6+6,$I37&gt;=AN$6),1,"")</f>
        <v/>
      </c>
      <c r="AO37" s="69" t="str">
        <f aca="false">IF(AND($H37&lt;=AO$6+6,$I37&gt;=AO$6),1,"")</f>
        <v/>
      </c>
      <c r="AP37" s="69" t="str">
        <f aca="false">IF(AND($H37&lt;=AP$6+6,$I37&gt;=AP$6),1,"")</f>
        <v/>
      </c>
    </row>
    <row r="38" customFormat="false" ht="21.75" hidden="false" customHeight="true" outlineLevel="1" collapsed="false">
      <c r="A38" s="78" t="s">
        <v>275</v>
      </c>
      <c r="B38" s="79" t="n">
        <v>2</v>
      </c>
      <c r="C38" s="47" t="s">
        <v>276</v>
      </c>
      <c r="D38" s="47" t="s">
        <v>277</v>
      </c>
      <c r="E38" s="47" t="s">
        <v>278</v>
      </c>
      <c r="F38" s="79" t="s">
        <v>261</v>
      </c>
      <c r="G38" s="80" t="n">
        <v>4</v>
      </c>
      <c r="H38" s="81" t="n">
        <f aca="false">WORKDAY(MAX($I$34),1,Holidays)</f>
        <v>46384</v>
      </c>
      <c r="I38" s="81" t="n">
        <f aca="false">WORKDAY(H38,G38-1,Holidays)</f>
        <v>46387</v>
      </c>
      <c r="J38" s="82" t="n">
        <f aca="false">IF(StatusDate&lt;H38,0,MIN(1,NETWORKDAYS(H38,StatusDate,Holidays)/G38))</f>
        <v>1</v>
      </c>
      <c r="K38" s="83" t="n">
        <v>1</v>
      </c>
      <c r="L38" s="84" t="n">
        <f aca="false">K38-J38</f>
        <v>0</v>
      </c>
      <c r="M38" s="79" t="str">
        <f aca="false">IF(K38&gt;=1,"Complete",IF(StatusDate&gt;I38,"Overdue",IF(K38&gt;0,IF(K38&lt;J38-0.1,"Behind","In Progress"),IF(StatusDate&gt;H38,"Late Start","Not Started"))))</f>
        <v>Complete</v>
      </c>
      <c r="N38" s="80" t="n">
        <v>2</v>
      </c>
      <c r="O38" s="85" t="n">
        <f aca="false">G38*N38</f>
        <v>8</v>
      </c>
      <c r="P38" s="86" t="n">
        <f aca="false">O38*BlendedRate</f>
        <v>2.56</v>
      </c>
      <c r="Q38" s="86" t="n">
        <f aca="false">P38*J38</f>
        <v>2.56</v>
      </c>
      <c r="R38" s="86" t="n">
        <f aca="false">P38*K38</f>
        <v>2.56</v>
      </c>
      <c r="S38" s="87" t="n">
        <v>2.66</v>
      </c>
      <c r="T38" s="79" t="str">
        <f aca="false">"S"&amp;(INT((H38-ProjectStart)/SprintLen)+1)</f>
        <v>S6</v>
      </c>
      <c r="U38" s="47"/>
      <c r="V38" s="69" t="str">
        <f aca="false">IF(AND($H38&lt;=V$6+6,$I38&gt;=V$6),1,"")</f>
        <v/>
      </c>
      <c r="W38" s="69" t="str">
        <f aca="false">IF(AND($H38&lt;=W$6+6,$I38&gt;=W$6),1,"")</f>
        <v/>
      </c>
      <c r="X38" s="69" t="str">
        <f aca="false">IF(AND($H38&lt;=X$6+6,$I38&gt;=X$6),1,"")</f>
        <v/>
      </c>
      <c r="Y38" s="69" t="str">
        <f aca="false">IF(AND($H38&lt;=Y$6+6,$I38&gt;=Y$6),1,"")</f>
        <v/>
      </c>
      <c r="Z38" s="69" t="str">
        <f aca="false">IF(AND($H38&lt;=Z$6+6,$I38&gt;=Z$6),1,"")</f>
        <v/>
      </c>
      <c r="AA38" s="69" t="str">
        <f aca="false">IF(AND($H38&lt;=AA$6+6,$I38&gt;=AA$6),1,"")</f>
        <v/>
      </c>
      <c r="AB38" s="69" t="str">
        <f aca="false">IF(AND($H38&lt;=AB$6+6,$I38&gt;=AB$6),1,"")</f>
        <v/>
      </c>
      <c r="AC38" s="69" t="str">
        <f aca="false">IF(AND($H38&lt;=AC$6+6,$I38&gt;=AC$6),1,"")</f>
        <v/>
      </c>
      <c r="AD38" s="69" t="str">
        <f aca="false">IF(AND($H38&lt;=AD$6+6,$I38&gt;=AD$6),1,"")</f>
        <v/>
      </c>
      <c r="AE38" s="69" t="str">
        <f aca="false">IF(AND($H38&lt;=AE$6+6,$I38&gt;=AE$6),1,"")</f>
        <v/>
      </c>
      <c r="AF38" s="69" t="n">
        <f aca="false">IF(AND($H38&lt;=AF$6+6,$I38&gt;=AF$6),1,"")</f>
        <v>1</v>
      </c>
      <c r="AG38" s="69" t="str">
        <f aca="false">IF(AND($H38&lt;=AG$6+6,$I38&gt;=AG$6),1,"")</f>
        <v/>
      </c>
      <c r="AH38" s="69" t="str">
        <f aca="false">IF(AND($H38&lt;=AH$6+6,$I38&gt;=AH$6),1,"")</f>
        <v/>
      </c>
      <c r="AI38" s="69" t="str">
        <f aca="false">IF(AND($H38&lt;=AI$6+6,$I38&gt;=AI$6),1,"")</f>
        <v/>
      </c>
      <c r="AJ38" s="69" t="str">
        <f aca="false">IF(AND($H38&lt;=AJ$6+6,$I38&gt;=AJ$6),1,"")</f>
        <v/>
      </c>
      <c r="AK38" s="69" t="str">
        <f aca="false">IF(AND($H38&lt;=AK$6+6,$I38&gt;=AK$6),1,"")</f>
        <v/>
      </c>
      <c r="AL38" s="69" t="str">
        <f aca="false">IF(AND($H38&lt;=AL$6+6,$I38&gt;=AL$6),1,"")</f>
        <v/>
      </c>
      <c r="AM38" s="69" t="str">
        <f aca="false">IF(AND($H38&lt;=AM$6+6,$I38&gt;=AM$6),1,"")</f>
        <v/>
      </c>
      <c r="AN38" s="69" t="str">
        <f aca="false">IF(AND($H38&lt;=AN$6+6,$I38&gt;=AN$6),1,"")</f>
        <v/>
      </c>
      <c r="AO38" s="69" t="str">
        <f aca="false">IF(AND($H38&lt;=AO$6+6,$I38&gt;=AO$6),1,"")</f>
        <v/>
      </c>
      <c r="AP38" s="69" t="str">
        <f aca="false">IF(AND($H38&lt;=AP$6+6,$I38&gt;=AP$6),1,"")</f>
        <v/>
      </c>
    </row>
    <row r="39" customFormat="false" ht="21.75" hidden="false" customHeight="true" outlineLevel="1" collapsed="false">
      <c r="A39" s="78" t="s">
        <v>279</v>
      </c>
      <c r="B39" s="79" t="n">
        <v>2</v>
      </c>
      <c r="C39" s="47" t="s">
        <v>280</v>
      </c>
      <c r="D39" s="47" t="s">
        <v>281</v>
      </c>
      <c r="E39" s="47" t="s">
        <v>220</v>
      </c>
      <c r="F39" s="79" t="s">
        <v>264</v>
      </c>
      <c r="G39" s="80" t="n">
        <v>3</v>
      </c>
      <c r="H39" s="81" t="n">
        <f aca="false">WORKDAY(MAX($I$35),1,Holidays)</f>
        <v>46387</v>
      </c>
      <c r="I39" s="81" t="n">
        <f aca="false">WORKDAY(H39,G39-1,Holidays)</f>
        <v>46392</v>
      </c>
      <c r="J39" s="82" t="n">
        <f aca="false">IF(StatusDate&lt;H39,0,MIN(1,NETWORKDAYS(H39,StatusDate,Holidays)/G39))</f>
        <v>1</v>
      </c>
      <c r="K39" s="83" t="n">
        <v>1</v>
      </c>
      <c r="L39" s="84" t="n">
        <f aca="false">K39-J39</f>
        <v>0</v>
      </c>
      <c r="M39" s="79" t="str">
        <f aca="false">IF(K39&gt;=1,"Complete",IF(StatusDate&gt;I39,"Overdue",IF(K39&gt;0,IF(K39&lt;J39-0.1,"Behind","In Progress"),IF(StatusDate&gt;H39,"Late Start","Not Started"))))</f>
        <v>Complete</v>
      </c>
      <c r="N39" s="80" t="n">
        <v>2</v>
      </c>
      <c r="O39" s="85" t="n">
        <f aca="false">G39*N39</f>
        <v>6</v>
      </c>
      <c r="P39" s="86" t="n">
        <f aca="false">O39*BlendedRate</f>
        <v>1.92</v>
      </c>
      <c r="Q39" s="86" t="n">
        <f aca="false">P39*J39</f>
        <v>1.92</v>
      </c>
      <c r="R39" s="86" t="n">
        <f aca="false">P39*K39</f>
        <v>1.92</v>
      </c>
      <c r="S39" s="87" t="n">
        <v>2</v>
      </c>
      <c r="T39" s="79" t="str">
        <f aca="false">"S"&amp;(INT((H39-ProjectStart)/SprintLen)+1)</f>
        <v>S6</v>
      </c>
      <c r="U39" s="47"/>
      <c r="V39" s="69" t="str">
        <f aca="false">IF(AND($H39&lt;=V$6+6,$I39&gt;=V$6),1,"")</f>
        <v/>
      </c>
      <c r="W39" s="69" t="str">
        <f aca="false">IF(AND($H39&lt;=W$6+6,$I39&gt;=W$6),1,"")</f>
        <v/>
      </c>
      <c r="X39" s="69" t="str">
        <f aca="false">IF(AND($H39&lt;=X$6+6,$I39&gt;=X$6),1,"")</f>
        <v/>
      </c>
      <c r="Y39" s="69" t="str">
        <f aca="false">IF(AND($H39&lt;=Y$6+6,$I39&gt;=Y$6),1,"")</f>
        <v/>
      </c>
      <c r="Z39" s="69" t="str">
        <f aca="false">IF(AND($H39&lt;=Z$6+6,$I39&gt;=Z$6),1,"")</f>
        <v/>
      </c>
      <c r="AA39" s="69" t="str">
        <f aca="false">IF(AND($H39&lt;=AA$6+6,$I39&gt;=AA$6),1,"")</f>
        <v/>
      </c>
      <c r="AB39" s="69" t="str">
        <f aca="false">IF(AND($H39&lt;=AB$6+6,$I39&gt;=AB$6),1,"")</f>
        <v/>
      </c>
      <c r="AC39" s="69" t="str">
        <f aca="false">IF(AND($H39&lt;=AC$6+6,$I39&gt;=AC$6),1,"")</f>
        <v/>
      </c>
      <c r="AD39" s="69" t="str">
        <f aca="false">IF(AND($H39&lt;=AD$6+6,$I39&gt;=AD$6),1,"")</f>
        <v/>
      </c>
      <c r="AE39" s="69" t="str">
        <f aca="false">IF(AND($H39&lt;=AE$6+6,$I39&gt;=AE$6),1,"")</f>
        <v/>
      </c>
      <c r="AF39" s="69" t="n">
        <f aca="false">IF(AND($H39&lt;=AF$6+6,$I39&gt;=AF$6),1,"")</f>
        <v>1</v>
      </c>
      <c r="AG39" s="69" t="n">
        <f aca="false">IF(AND($H39&lt;=AG$6+6,$I39&gt;=AG$6),1,"")</f>
        <v>1</v>
      </c>
      <c r="AH39" s="69" t="str">
        <f aca="false">IF(AND($H39&lt;=AH$6+6,$I39&gt;=AH$6),1,"")</f>
        <v/>
      </c>
      <c r="AI39" s="69" t="str">
        <f aca="false">IF(AND($H39&lt;=AI$6+6,$I39&gt;=AI$6),1,"")</f>
        <v/>
      </c>
      <c r="AJ39" s="69" t="str">
        <f aca="false">IF(AND($H39&lt;=AJ$6+6,$I39&gt;=AJ$6),1,"")</f>
        <v/>
      </c>
      <c r="AK39" s="69" t="str">
        <f aca="false">IF(AND($H39&lt;=AK$6+6,$I39&gt;=AK$6),1,"")</f>
        <v/>
      </c>
      <c r="AL39" s="69" t="str">
        <f aca="false">IF(AND($H39&lt;=AL$6+6,$I39&gt;=AL$6),1,"")</f>
        <v/>
      </c>
      <c r="AM39" s="69" t="str">
        <f aca="false">IF(AND($H39&lt;=AM$6+6,$I39&gt;=AM$6),1,"")</f>
        <v/>
      </c>
      <c r="AN39" s="69" t="str">
        <f aca="false">IF(AND($H39&lt;=AN$6+6,$I39&gt;=AN$6),1,"")</f>
        <v/>
      </c>
      <c r="AO39" s="69" t="str">
        <f aca="false">IF(AND($H39&lt;=AO$6+6,$I39&gt;=AO$6),1,"")</f>
        <v/>
      </c>
      <c r="AP39" s="69" t="str">
        <f aca="false">IF(AND($H39&lt;=AP$6+6,$I39&gt;=AP$6),1,"")</f>
        <v/>
      </c>
    </row>
    <row r="40" customFormat="false" ht="21.75" hidden="false" customHeight="true" outlineLevel="1" collapsed="false">
      <c r="A40" s="78" t="s">
        <v>282</v>
      </c>
      <c r="B40" s="79" t="n">
        <v>2</v>
      </c>
      <c r="C40" s="47" t="s">
        <v>283</v>
      </c>
      <c r="D40" s="47" t="s">
        <v>284</v>
      </c>
      <c r="E40" s="47" t="s">
        <v>182</v>
      </c>
      <c r="F40" s="79" t="s">
        <v>285</v>
      </c>
      <c r="G40" s="80" t="n">
        <v>3</v>
      </c>
      <c r="H40" s="81" t="n">
        <f aca="false">WORKDAY(MAX($I$36,$I$37,$I$38),1,Holidays)</f>
        <v>46391</v>
      </c>
      <c r="I40" s="81" t="n">
        <f aca="false">WORKDAY(H40,G40-1,Holidays)</f>
        <v>46393</v>
      </c>
      <c r="J40" s="82" t="n">
        <f aca="false">IF(StatusDate&lt;H40,0,MIN(1,NETWORKDAYS(H40,StatusDate,Holidays)/G40))</f>
        <v>1</v>
      </c>
      <c r="K40" s="83" t="n">
        <v>0.6</v>
      </c>
      <c r="L40" s="84" t="n">
        <f aca="false">K40-J40</f>
        <v>-0.4</v>
      </c>
      <c r="M40" s="79" t="str">
        <f aca="false">IF(K40&gt;=1,"Complete",IF(StatusDate&gt;I40,"Overdue",IF(K40&gt;0,IF(K40&lt;J40-0.1,"Behind","In Progress"),IF(StatusDate&gt;H40,"Late Start","Not Started"))))</f>
        <v>Overdue</v>
      </c>
      <c r="N40" s="80" t="n">
        <v>2</v>
      </c>
      <c r="O40" s="85" t="n">
        <f aca="false">G40*N40</f>
        <v>6</v>
      </c>
      <c r="P40" s="86" t="n">
        <f aca="false">O40*BlendedRate</f>
        <v>1.92</v>
      </c>
      <c r="Q40" s="86" t="n">
        <f aca="false">P40*J40</f>
        <v>1.92</v>
      </c>
      <c r="R40" s="86" t="n">
        <f aca="false">P40*K40</f>
        <v>1.152</v>
      </c>
      <c r="S40" s="87" t="n">
        <v>1.2</v>
      </c>
      <c r="T40" s="79" t="str">
        <f aca="false">"S"&amp;(INT((H40-ProjectStart)/SprintLen)+1)</f>
        <v>S6</v>
      </c>
      <c r="U40" s="47"/>
      <c r="V40" s="69" t="str">
        <f aca="false">IF(AND($H40&lt;=V$6+6,$I40&gt;=V$6),1,"")</f>
        <v/>
      </c>
      <c r="W40" s="69" t="str">
        <f aca="false">IF(AND($H40&lt;=W$6+6,$I40&gt;=W$6),1,"")</f>
        <v/>
      </c>
      <c r="X40" s="69" t="str">
        <f aca="false">IF(AND($H40&lt;=X$6+6,$I40&gt;=X$6),1,"")</f>
        <v/>
      </c>
      <c r="Y40" s="69" t="str">
        <f aca="false">IF(AND($H40&lt;=Y$6+6,$I40&gt;=Y$6),1,"")</f>
        <v/>
      </c>
      <c r="Z40" s="69" t="str">
        <f aca="false">IF(AND($H40&lt;=Z$6+6,$I40&gt;=Z$6),1,"")</f>
        <v/>
      </c>
      <c r="AA40" s="69" t="str">
        <f aca="false">IF(AND($H40&lt;=AA$6+6,$I40&gt;=AA$6),1,"")</f>
        <v/>
      </c>
      <c r="AB40" s="69" t="str">
        <f aca="false">IF(AND($H40&lt;=AB$6+6,$I40&gt;=AB$6),1,"")</f>
        <v/>
      </c>
      <c r="AC40" s="69" t="str">
        <f aca="false">IF(AND($H40&lt;=AC$6+6,$I40&gt;=AC$6),1,"")</f>
        <v/>
      </c>
      <c r="AD40" s="69" t="str">
        <f aca="false">IF(AND($H40&lt;=AD$6+6,$I40&gt;=AD$6),1,"")</f>
        <v/>
      </c>
      <c r="AE40" s="69" t="str">
        <f aca="false">IF(AND($H40&lt;=AE$6+6,$I40&gt;=AE$6),1,"")</f>
        <v/>
      </c>
      <c r="AF40" s="69" t="str">
        <f aca="false">IF(AND($H40&lt;=AF$6+6,$I40&gt;=AF$6),1,"")</f>
        <v/>
      </c>
      <c r="AG40" s="69" t="n">
        <f aca="false">IF(AND($H40&lt;=AG$6+6,$I40&gt;=AG$6),1,"")</f>
        <v>1</v>
      </c>
      <c r="AH40" s="69" t="str">
        <f aca="false">IF(AND($H40&lt;=AH$6+6,$I40&gt;=AH$6),1,"")</f>
        <v/>
      </c>
      <c r="AI40" s="69" t="str">
        <f aca="false">IF(AND($H40&lt;=AI$6+6,$I40&gt;=AI$6),1,"")</f>
        <v/>
      </c>
      <c r="AJ40" s="69" t="str">
        <f aca="false">IF(AND($H40&lt;=AJ$6+6,$I40&gt;=AJ$6),1,"")</f>
        <v/>
      </c>
      <c r="AK40" s="69" t="str">
        <f aca="false">IF(AND($H40&lt;=AK$6+6,$I40&gt;=AK$6),1,"")</f>
        <v/>
      </c>
      <c r="AL40" s="69" t="str">
        <f aca="false">IF(AND($H40&lt;=AL$6+6,$I40&gt;=AL$6),1,"")</f>
        <v/>
      </c>
      <c r="AM40" s="69" t="str">
        <f aca="false">IF(AND($H40&lt;=AM$6+6,$I40&gt;=AM$6),1,"")</f>
        <v/>
      </c>
      <c r="AN40" s="69" t="str">
        <f aca="false">IF(AND($H40&lt;=AN$6+6,$I40&gt;=AN$6),1,"")</f>
        <v/>
      </c>
      <c r="AO40" s="69" t="str">
        <f aca="false">IF(AND($H40&lt;=AO$6+6,$I40&gt;=AO$6),1,"")</f>
        <v/>
      </c>
      <c r="AP40" s="69" t="str">
        <f aca="false">IF(AND($H40&lt;=AP$6+6,$I40&gt;=AP$6),1,"")</f>
        <v/>
      </c>
    </row>
    <row r="41" customFormat="false" ht="21.75" hidden="false" customHeight="true" outlineLevel="1" collapsed="false">
      <c r="A41" s="78" t="s">
        <v>286</v>
      </c>
      <c r="B41" s="79" t="n">
        <v>2</v>
      </c>
      <c r="C41" s="47" t="s">
        <v>287</v>
      </c>
      <c r="D41" s="47" t="s">
        <v>288</v>
      </c>
      <c r="E41" s="47" t="s">
        <v>289</v>
      </c>
      <c r="F41" s="79" t="s">
        <v>290</v>
      </c>
      <c r="G41" s="80" t="n">
        <v>3</v>
      </c>
      <c r="H41" s="81" t="n">
        <f aca="false">WORKDAY(MAX($I$39,$I$40),1,Holidays)</f>
        <v>46394</v>
      </c>
      <c r="I41" s="81" t="n">
        <f aca="false">WORKDAY(H41,G41-1,Holidays)</f>
        <v>46398</v>
      </c>
      <c r="J41" s="82" t="n">
        <f aca="false">IF(StatusDate&lt;H41,0,MIN(1,NETWORKDAYS(H41,StatusDate,Holidays)/G41))</f>
        <v>1</v>
      </c>
      <c r="K41" s="83" t="n">
        <v>0.5</v>
      </c>
      <c r="L41" s="84" t="n">
        <f aca="false">K41-J41</f>
        <v>-0.5</v>
      </c>
      <c r="M41" s="79" t="str">
        <f aca="false">IF(K41&gt;=1,"Complete",IF(StatusDate&gt;I41,"Overdue",IF(K41&gt;0,IF(K41&lt;J41-0.1,"Behind","In Progress"),IF(StatusDate&gt;H41,"Late Start","Not Started"))))</f>
        <v>Overdue</v>
      </c>
      <c r="N41" s="80" t="n">
        <v>3</v>
      </c>
      <c r="O41" s="85" t="n">
        <f aca="false">G41*N41</f>
        <v>9</v>
      </c>
      <c r="P41" s="86" t="n">
        <f aca="false">O41*BlendedRate</f>
        <v>2.88</v>
      </c>
      <c r="Q41" s="86" t="n">
        <f aca="false">P41*J41</f>
        <v>2.88</v>
      </c>
      <c r="R41" s="86" t="n">
        <f aca="false">P41*K41</f>
        <v>1.44</v>
      </c>
      <c r="S41" s="87" t="n">
        <v>1.5</v>
      </c>
      <c r="T41" s="79" t="str">
        <f aca="false">"S"&amp;(INT((H41-ProjectStart)/SprintLen)+1)</f>
        <v>S6</v>
      </c>
      <c r="U41" s="47"/>
      <c r="V41" s="69" t="str">
        <f aca="false">IF(AND($H41&lt;=V$6+6,$I41&gt;=V$6),1,"")</f>
        <v/>
      </c>
      <c r="W41" s="69" t="str">
        <f aca="false">IF(AND($H41&lt;=W$6+6,$I41&gt;=W$6),1,"")</f>
        <v/>
      </c>
      <c r="X41" s="69" t="str">
        <f aca="false">IF(AND($H41&lt;=X$6+6,$I41&gt;=X$6),1,"")</f>
        <v/>
      </c>
      <c r="Y41" s="69" t="str">
        <f aca="false">IF(AND($H41&lt;=Y$6+6,$I41&gt;=Y$6),1,"")</f>
        <v/>
      </c>
      <c r="Z41" s="69" t="str">
        <f aca="false">IF(AND($H41&lt;=Z$6+6,$I41&gt;=Z$6),1,"")</f>
        <v/>
      </c>
      <c r="AA41" s="69" t="str">
        <f aca="false">IF(AND($H41&lt;=AA$6+6,$I41&gt;=AA$6),1,"")</f>
        <v/>
      </c>
      <c r="AB41" s="69" t="str">
        <f aca="false">IF(AND($H41&lt;=AB$6+6,$I41&gt;=AB$6),1,"")</f>
        <v/>
      </c>
      <c r="AC41" s="69" t="str">
        <f aca="false">IF(AND($H41&lt;=AC$6+6,$I41&gt;=AC$6),1,"")</f>
        <v/>
      </c>
      <c r="AD41" s="69" t="str">
        <f aca="false">IF(AND($H41&lt;=AD$6+6,$I41&gt;=AD$6),1,"")</f>
        <v/>
      </c>
      <c r="AE41" s="69" t="str">
        <f aca="false">IF(AND($H41&lt;=AE$6+6,$I41&gt;=AE$6),1,"")</f>
        <v/>
      </c>
      <c r="AF41" s="69" t="str">
        <f aca="false">IF(AND($H41&lt;=AF$6+6,$I41&gt;=AF$6),1,"")</f>
        <v/>
      </c>
      <c r="AG41" s="69" t="n">
        <f aca="false">IF(AND($H41&lt;=AG$6+6,$I41&gt;=AG$6),1,"")</f>
        <v>1</v>
      </c>
      <c r="AH41" s="69" t="n">
        <f aca="false">IF(AND($H41&lt;=AH$6+6,$I41&gt;=AH$6),1,"")</f>
        <v>1</v>
      </c>
      <c r="AI41" s="69" t="str">
        <f aca="false">IF(AND($H41&lt;=AI$6+6,$I41&gt;=AI$6),1,"")</f>
        <v/>
      </c>
      <c r="AJ41" s="69" t="str">
        <f aca="false">IF(AND($H41&lt;=AJ$6+6,$I41&gt;=AJ$6),1,"")</f>
        <v/>
      </c>
      <c r="AK41" s="69" t="str">
        <f aca="false">IF(AND($H41&lt;=AK$6+6,$I41&gt;=AK$6),1,"")</f>
        <v/>
      </c>
      <c r="AL41" s="69" t="str">
        <f aca="false">IF(AND($H41&lt;=AL$6+6,$I41&gt;=AL$6),1,"")</f>
        <v/>
      </c>
      <c r="AM41" s="69" t="str">
        <f aca="false">IF(AND($H41&lt;=AM$6+6,$I41&gt;=AM$6),1,"")</f>
        <v/>
      </c>
      <c r="AN41" s="69" t="str">
        <f aca="false">IF(AND($H41&lt;=AN$6+6,$I41&gt;=AN$6),1,"")</f>
        <v/>
      </c>
      <c r="AO41" s="69" t="str">
        <f aca="false">IF(AND($H41&lt;=AO$6+6,$I41&gt;=AO$6),1,"")</f>
        <v/>
      </c>
      <c r="AP41" s="69" t="str">
        <f aca="false">IF(AND($H41&lt;=AP$6+6,$I41&gt;=AP$6),1,"")</f>
        <v/>
      </c>
    </row>
    <row r="42" customFormat="false" ht="21.75" hidden="false" customHeight="true" outlineLevel="1" collapsed="false">
      <c r="A42" s="78" t="s">
        <v>291</v>
      </c>
      <c r="B42" s="79" t="n">
        <v>2</v>
      </c>
      <c r="C42" s="47" t="s">
        <v>292</v>
      </c>
      <c r="D42" s="47" t="s">
        <v>293</v>
      </c>
      <c r="E42" s="47" t="s">
        <v>182</v>
      </c>
      <c r="F42" s="79" t="s">
        <v>286</v>
      </c>
      <c r="G42" s="80" t="n">
        <v>1</v>
      </c>
      <c r="H42" s="81" t="n">
        <f aca="false">WORKDAY(MAX($I$41),1,Holidays)</f>
        <v>46399</v>
      </c>
      <c r="I42" s="81" t="n">
        <f aca="false">WORKDAY(H42,G42-1,Holidays)</f>
        <v>46399</v>
      </c>
      <c r="J42" s="82" t="n">
        <f aca="false">IF(StatusDate&lt;H42,0,MIN(1,NETWORKDAYS(H42,StatusDate,Holidays)/G42))</f>
        <v>1</v>
      </c>
      <c r="K42" s="83" t="n">
        <v>0</v>
      </c>
      <c r="L42" s="84" t="n">
        <f aca="false">K42-J42</f>
        <v>-1</v>
      </c>
      <c r="M42" s="79" t="str">
        <f aca="false">IF(K42&gt;=1,"Complete",IF(StatusDate&gt;I42,"Overdue",IF(K42&gt;0,IF(K42&lt;J42-0.1,"Behind","In Progress"),IF(StatusDate&gt;H42,"Late Start","Not Started"))))</f>
        <v>Overdue</v>
      </c>
      <c r="N42" s="80" t="n">
        <v>1</v>
      </c>
      <c r="O42" s="85" t="n">
        <f aca="false">G42*N42</f>
        <v>1</v>
      </c>
      <c r="P42" s="86" t="n">
        <f aca="false">O42*BlendedRate</f>
        <v>0.32</v>
      </c>
      <c r="Q42" s="86" t="n">
        <f aca="false">P42*J42</f>
        <v>0.32</v>
      </c>
      <c r="R42" s="86" t="n">
        <f aca="false">P42*K42</f>
        <v>0</v>
      </c>
      <c r="S42" s="87" t="n">
        <v>0</v>
      </c>
      <c r="T42" s="79" t="str">
        <f aca="false">"S"&amp;(INT((H42-ProjectStart)/SprintLen)+1)</f>
        <v>S7</v>
      </c>
      <c r="U42" s="47"/>
      <c r="V42" s="69" t="str">
        <f aca="false">IF(AND($H42&lt;=V$6+6,$I42&gt;=V$6),1,"")</f>
        <v/>
      </c>
      <c r="W42" s="69" t="str">
        <f aca="false">IF(AND($H42&lt;=W$6+6,$I42&gt;=W$6),1,"")</f>
        <v/>
      </c>
      <c r="X42" s="69" t="str">
        <f aca="false">IF(AND($H42&lt;=X$6+6,$I42&gt;=X$6),1,"")</f>
        <v/>
      </c>
      <c r="Y42" s="69" t="str">
        <f aca="false">IF(AND($H42&lt;=Y$6+6,$I42&gt;=Y$6),1,"")</f>
        <v/>
      </c>
      <c r="Z42" s="69" t="str">
        <f aca="false">IF(AND($H42&lt;=Z$6+6,$I42&gt;=Z$6),1,"")</f>
        <v/>
      </c>
      <c r="AA42" s="69" t="str">
        <f aca="false">IF(AND($H42&lt;=AA$6+6,$I42&gt;=AA$6),1,"")</f>
        <v/>
      </c>
      <c r="AB42" s="69" t="str">
        <f aca="false">IF(AND($H42&lt;=AB$6+6,$I42&gt;=AB$6),1,"")</f>
        <v/>
      </c>
      <c r="AC42" s="69" t="str">
        <f aca="false">IF(AND($H42&lt;=AC$6+6,$I42&gt;=AC$6),1,"")</f>
        <v/>
      </c>
      <c r="AD42" s="69" t="str">
        <f aca="false">IF(AND($H42&lt;=AD$6+6,$I42&gt;=AD$6),1,"")</f>
        <v/>
      </c>
      <c r="AE42" s="69" t="str">
        <f aca="false">IF(AND($H42&lt;=AE$6+6,$I42&gt;=AE$6),1,"")</f>
        <v/>
      </c>
      <c r="AF42" s="69" t="str">
        <f aca="false">IF(AND($H42&lt;=AF$6+6,$I42&gt;=AF$6),1,"")</f>
        <v/>
      </c>
      <c r="AG42" s="69" t="str">
        <f aca="false">IF(AND($H42&lt;=AG$6+6,$I42&gt;=AG$6),1,"")</f>
        <v/>
      </c>
      <c r="AH42" s="69" t="n">
        <f aca="false">IF(AND($H42&lt;=AH$6+6,$I42&gt;=AH$6),1,"")</f>
        <v>1</v>
      </c>
      <c r="AI42" s="69" t="str">
        <f aca="false">IF(AND($H42&lt;=AI$6+6,$I42&gt;=AI$6),1,"")</f>
        <v/>
      </c>
      <c r="AJ42" s="69" t="str">
        <f aca="false">IF(AND($H42&lt;=AJ$6+6,$I42&gt;=AJ$6),1,"")</f>
        <v/>
      </c>
      <c r="AK42" s="69" t="str">
        <f aca="false">IF(AND($H42&lt;=AK$6+6,$I42&gt;=AK$6),1,"")</f>
        <v/>
      </c>
      <c r="AL42" s="69" t="str">
        <f aca="false">IF(AND($H42&lt;=AL$6+6,$I42&gt;=AL$6),1,"")</f>
        <v/>
      </c>
      <c r="AM42" s="69" t="str">
        <f aca="false">IF(AND($H42&lt;=AM$6+6,$I42&gt;=AM$6),1,"")</f>
        <v/>
      </c>
      <c r="AN42" s="69" t="str">
        <f aca="false">IF(AND($H42&lt;=AN$6+6,$I42&gt;=AN$6),1,"")</f>
        <v/>
      </c>
      <c r="AO42" s="69" t="str">
        <f aca="false">IF(AND($H42&lt;=AO$6+6,$I42&gt;=AO$6),1,"")</f>
        <v/>
      </c>
      <c r="AP42" s="69" t="str">
        <f aca="false">IF(AND($H42&lt;=AP$6+6,$I42&gt;=AP$6),1,"")</f>
        <v/>
      </c>
    </row>
    <row r="43" customFormat="false" ht="21.75" hidden="false" customHeight="true" outlineLevel="1" collapsed="false">
      <c r="A43" s="88" t="s">
        <v>294</v>
      </c>
      <c r="B43" s="89" t="n">
        <v>2</v>
      </c>
      <c r="C43" s="90" t="s">
        <v>295</v>
      </c>
      <c r="D43" s="91" t="s">
        <v>296</v>
      </c>
      <c r="E43" s="91" t="s">
        <v>206</v>
      </c>
      <c r="F43" s="89" t="s">
        <v>297</v>
      </c>
      <c r="G43" s="89" t="n">
        <v>0</v>
      </c>
      <c r="H43" s="92" t="n">
        <f aca="false">I43</f>
        <v>46401</v>
      </c>
      <c r="I43" s="92" t="n">
        <f aca="false">WORKDAY(ProjectStart-1,60,Holidays)</f>
        <v>46401</v>
      </c>
      <c r="J43" s="93" t="n">
        <f aca="false">IF(StatusDate&gt;=I43,1,0)</f>
        <v>1</v>
      </c>
      <c r="K43" s="94" t="n">
        <v>0</v>
      </c>
      <c r="L43" s="95" t="n">
        <f aca="false">K43-J43</f>
        <v>-1</v>
      </c>
      <c r="M43" s="89" t="str">
        <f aca="false">IF(K43&gt;=1,"Complete",IF(StatusDate&gt;I43,"Overdue",IF(K43&gt;0,IF(K43&lt;J43-0.1,"Behind","In Progress"),IF(StatusDate&gt;H43,"Late Start","Not Started"))))</f>
        <v>Overdue</v>
      </c>
      <c r="N43" s="89"/>
      <c r="O43" s="96"/>
      <c r="P43" s="97"/>
      <c r="Q43" s="97"/>
      <c r="R43" s="97"/>
      <c r="S43" s="97"/>
      <c r="T43" s="89" t="str">
        <f aca="false">"S"&amp;(INT((H43-ProjectStart)/SprintLen)+1)</f>
        <v>S7</v>
      </c>
      <c r="U43" s="91" t="s">
        <v>208</v>
      </c>
      <c r="V43" s="98" t="str">
        <f aca="false">IF(AND($I43&gt;=V$6,$I43&lt;=V$6+6),"◆","")</f>
        <v/>
      </c>
      <c r="W43" s="98" t="str">
        <f aca="false">IF(AND($I43&gt;=W$6,$I43&lt;=W$6+6),"◆","")</f>
        <v/>
      </c>
      <c r="X43" s="98" t="str">
        <f aca="false">IF(AND($I43&gt;=X$6,$I43&lt;=X$6+6),"◆","")</f>
        <v/>
      </c>
      <c r="Y43" s="98" t="str">
        <f aca="false">IF(AND($I43&gt;=Y$6,$I43&lt;=Y$6+6),"◆","")</f>
        <v/>
      </c>
      <c r="Z43" s="98" t="str">
        <f aca="false">IF(AND($I43&gt;=Z$6,$I43&lt;=Z$6+6),"◆","")</f>
        <v/>
      </c>
      <c r="AA43" s="98" t="str">
        <f aca="false">IF(AND($I43&gt;=AA$6,$I43&lt;=AA$6+6),"◆","")</f>
        <v/>
      </c>
      <c r="AB43" s="98" t="str">
        <f aca="false">IF(AND($I43&gt;=AB$6,$I43&lt;=AB$6+6),"◆","")</f>
        <v/>
      </c>
      <c r="AC43" s="98" t="str">
        <f aca="false">IF(AND($I43&gt;=AC$6,$I43&lt;=AC$6+6),"◆","")</f>
        <v/>
      </c>
      <c r="AD43" s="98" t="str">
        <f aca="false">IF(AND($I43&gt;=AD$6,$I43&lt;=AD$6+6),"◆","")</f>
        <v/>
      </c>
      <c r="AE43" s="98" t="str">
        <f aca="false">IF(AND($I43&gt;=AE$6,$I43&lt;=AE$6+6),"◆","")</f>
        <v/>
      </c>
      <c r="AF43" s="98" t="str">
        <f aca="false">IF(AND($I43&gt;=AF$6,$I43&lt;=AF$6+6),"◆","")</f>
        <v/>
      </c>
      <c r="AG43" s="98" t="str">
        <f aca="false">IF(AND($I43&gt;=AG$6,$I43&lt;=AG$6+6),"◆","")</f>
        <v/>
      </c>
      <c r="AH43" s="98" t="str">
        <f aca="false">IF(AND($I43&gt;=AH$6,$I43&lt;=AH$6+6),"◆","")</f>
        <v>◆</v>
      </c>
      <c r="AI43" s="98" t="str">
        <f aca="false">IF(AND($I43&gt;=AI$6,$I43&lt;=AI$6+6),"◆","")</f>
        <v/>
      </c>
      <c r="AJ43" s="98" t="str">
        <f aca="false">IF(AND($I43&gt;=AJ$6,$I43&lt;=AJ$6+6),"◆","")</f>
        <v/>
      </c>
      <c r="AK43" s="98" t="str">
        <f aca="false">IF(AND($I43&gt;=AK$6,$I43&lt;=AK$6+6),"◆","")</f>
        <v/>
      </c>
      <c r="AL43" s="98" t="str">
        <f aca="false">IF(AND($I43&gt;=AL$6,$I43&lt;=AL$6+6),"◆","")</f>
        <v/>
      </c>
      <c r="AM43" s="98" t="str">
        <f aca="false">IF(AND($I43&gt;=AM$6,$I43&lt;=AM$6+6),"◆","")</f>
        <v/>
      </c>
      <c r="AN43" s="98" t="str">
        <f aca="false">IF(AND($I43&gt;=AN$6,$I43&lt;=AN$6+6),"◆","")</f>
        <v/>
      </c>
      <c r="AO43" s="98" t="str">
        <f aca="false">IF(AND($I43&gt;=AO$6,$I43&lt;=AO$6+6),"◆","")</f>
        <v/>
      </c>
      <c r="AP43" s="98" t="str">
        <f aca="false">IF(AND($I43&gt;=AP$6,$I43&lt;=AP$6+6),"◆","")</f>
        <v/>
      </c>
    </row>
    <row r="44" customFormat="false" ht="30" hidden="false" customHeight="true" outlineLevel="0" collapsed="false">
      <c r="A44" s="70" t="s">
        <v>298</v>
      </c>
      <c r="B44" s="71" t="n">
        <v>1</v>
      </c>
      <c r="C44" s="72" t="s">
        <v>299</v>
      </c>
      <c r="D44" s="72" t="s">
        <v>300</v>
      </c>
      <c r="E44" s="72" t="s">
        <v>163</v>
      </c>
      <c r="F44" s="71"/>
      <c r="G44" s="71" t="n">
        <f aca="false">NETWORKDAYS(H44,I44,Holidays)</f>
        <v>20</v>
      </c>
      <c r="H44" s="73" t="n">
        <f aca="false">MIN(H45:H55)</f>
        <v>46402</v>
      </c>
      <c r="I44" s="73" t="n">
        <f aca="false">MAX(I45:I55)</f>
        <v>46430</v>
      </c>
      <c r="J44" s="74" t="n">
        <f aca="false">IF(P44=0,0,Q44/P44)</f>
        <v>0.0810810810810811</v>
      </c>
      <c r="K44" s="74" t="n">
        <f aca="false">IF(P44=0,0,R44/P44)</f>
        <v>0.0918918918918919</v>
      </c>
      <c r="L44" s="75" t="n">
        <f aca="false">K44-J44</f>
        <v>0.0108108108108108</v>
      </c>
      <c r="M44" s="71" t="str">
        <f aca="false">IF(K44&gt;=1,"Complete",IF(StatusDate&gt;I44,"Overdue",IF(K44&gt;0,IF(K44&lt;J44-0.1,"Behind","In Progress"),IF(StatusDate&gt;H44,"Late Start","Not Started"))))</f>
        <v>In Progress</v>
      </c>
      <c r="N44" s="71" t="n">
        <f aca="false">MAX(N45:N55)</f>
        <v>4</v>
      </c>
      <c r="O44" s="76" t="n">
        <f aca="false">SUM(O45:O55)</f>
        <v>74</v>
      </c>
      <c r="P44" s="77" t="n">
        <f aca="false">SUM(P45:P55)</f>
        <v>23.68</v>
      </c>
      <c r="Q44" s="77" t="n">
        <f aca="false">SUM(Q45:Q55)</f>
        <v>1.92</v>
      </c>
      <c r="R44" s="77" t="n">
        <f aca="false">SUM(R45:R55)</f>
        <v>2.176</v>
      </c>
      <c r="S44" s="77" t="n">
        <f aca="false">SUM(S45:S55)</f>
        <v>2.18</v>
      </c>
      <c r="T44" s="71"/>
      <c r="U44" s="72" t="s">
        <v>301</v>
      </c>
      <c r="V44" s="69" t="str">
        <f aca="false">IF(AND($H44&lt;=V$6+6,$I44&gt;=V$6),1,"")</f>
        <v/>
      </c>
      <c r="W44" s="69" t="str">
        <f aca="false">IF(AND($H44&lt;=W$6+6,$I44&gt;=W$6),1,"")</f>
        <v/>
      </c>
      <c r="X44" s="69" t="str">
        <f aca="false">IF(AND($H44&lt;=X$6+6,$I44&gt;=X$6),1,"")</f>
        <v/>
      </c>
      <c r="Y44" s="69" t="str">
        <f aca="false">IF(AND($H44&lt;=Y$6+6,$I44&gt;=Y$6),1,"")</f>
        <v/>
      </c>
      <c r="Z44" s="69" t="str">
        <f aca="false">IF(AND($H44&lt;=Z$6+6,$I44&gt;=Z$6),1,"")</f>
        <v/>
      </c>
      <c r="AA44" s="69" t="str">
        <f aca="false">IF(AND($H44&lt;=AA$6+6,$I44&gt;=AA$6),1,"")</f>
        <v/>
      </c>
      <c r="AB44" s="69" t="str">
        <f aca="false">IF(AND($H44&lt;=AB$6+6,$I44&gt;=AB$6),1,"")</f>
        <v/>
      </c>
      <c r="AC44" s="69" t="str">
        <f aca="false">IF(AND($H44&lt;=AC$6+6,$I44&gt;=AC$6),1,"")</f>
        <v/>
      </c>
      <c r="AD44" s="69" t="str">
        <f aca="false">IF(AND($H44&lt;=AD$6+6,$I44&gt;=AD$6),1,"")</f>
        <v/>
      </c>
      <c r="AE44" s="69" t="str">
        <f aca="false">IF(AND($H44&lt;=AE$6+6,$I44&gt;=AE$6),1,"")</f>
        <v/>
      </c>
      <c r="AF44" s="69" t="str">
        <f aca="false">IF(AND($H44&lt;=AF$6+6,$I44&gt;=AF$6),1,"")</f>
        <v/>
      </c>
      <c r="AG44" s="69" t="str">
        <f aca="false">IF(AND($H44&lt;=AG$6+6,$I44&gt;=AG$6),1,"")</f>
        <v/>
      </c>
      <c r="AH44" s="69" t="n">
        <f aca="false">IF(AND($H44&lt;=AH$6+6,$I44&gt;=AH$6),1,"")</f>
        <v>1</v>
      </c>
      <c r="AI44" s="69" t="n">
        <f aca="false">IF(AND($H44&lt;=AI$6+6,$I44&gt;=AI$6),1,"")</f>
        <v>1</v>
      </c>
      <c r="AJ44" s="69" t="n">
        <f aca="false">IF(AND($H44&lt;=AJ$6+6,$I44&gt;=AJ$6),1,"")</f>
        <v>1</v>
      </c>
      <c r="AK44" s="69" t="n">
        <f aca="false">IF(AND($H44&lt;=AK$6+6,$I44&gt;=AK$6),1,"")</f>
        <v>1</v>
      </c>
      <c r="AL44" s="69" t="n">
        <f aca="false">IF(AND($H44&lt;=AL$6+6,$I44&gt;=AL$6),1,"")</f>
        <v>1</v>
      </c>
      <c r="AM44" s="69" t="str">
        <f aca="false">IF(AND($H44&lt;=AM$6+6,$I44&gt;=AM$6),1,"")</f>
        <v/>
      </c>
      <c r="AN44" s="69" t="str">
        <f aca="false">IF(AND($H44&lt;=AN$6+6,$I44&gt;=AN$6),1,"")</f>
        <v/>
      </c>
      <c r="AO44" s="69" t="str">
        <f aca="false">IF(AND($H44&lt;=AO$6+6,$I44&gt;=AO$6),1,"")</f>
        <v/>
      </c>
      <c r="AP44" s="69" t="str">
        <f aca="false">IF(AND($H44&lt;=AP$6+6,$I44&gt;=AP$6),1,"")</f>
        <v/>
      </c>
    </row>
    <row r="45" customFormat="false" ht="21.75" hidden="false" customHeight="true" outlineLevel="1" collapsed="false">
      <c r="A45" s="78" t="s">
        <v>302</v>
      </c>
      <c r="B45" s="79" t="n">
        <v>2</v>
      </c>
      <c r="C45" s="47" t="s">
        <v>303</v>
      </c>
      <c r="D45" s="47" t="s">
        <v>304</v>
      </c>
      <c r="E45" s="47" t="s">
        <v>198</v>
      </c>
      <c r="F45" s="79" t="s">
        <v>294</v>
      </c>
      <c r="G45" s="80" t="n">
        <v>3</v>
      </c>
      <c r="H45" s="81" t="n">
        <f aca="false">WORKDAY(MAX($I$43),1,Holidays)</f>
        <v>46402</v>
      </c>
      <c r="I45" s="81" t="n">
        <f aca="false">WORKDAY(H45,G45-1,Holidays)</f>
        <v>46406</v>
      </c>
      <c r="J45" s="82" t="n">
        <f aca="false">IF(StatusDate&lt;H45,0,MIN(1,NETWORKDAYS(H45,StatusDate,Holidays)/G45))</f>
        <v>0.333333333333333</v>
      </c>
      <c r="K45" s="83" t="n">
        <v>0.3</v>
      </c>
      <c r="L45" s="84" t="n">
        <f aca="false">K45-J45</f>
        <v>-0.0333333333333333</v>
      </c>
      <c r="M45" s="79" t="str">
        <f aca="false">IF(K45&gt;=1,"Complete",IF(StatusDate&gt;I45,"Overdue",IF(K45&gt;0,IF(K45&lt;J45-0.1,"Behind","In Progress"),IF(StatusDate&gt;H45,"Late Start","Not Started"))))</f>
        <v>In Progress</v>
      </c>
      <c r="N45" s="80" t="n">
        <v>2</v>
      </c>
      <c r="O45" s="85" t="n">
        <f aca="false">G45*N45</f>
        <v>6</v>
      </c>
      <c r="P45" s="86" t="n">
        <f aca="false">O45*BlendedRate</f>
        <v>1.92</v>
      </c>
      <c r="Q45" s="86" t="n">
        <f aca="false">P45*J45</f>
        <v>0.64</v>
      </c>
      <c r="R45" s="86" t="n">
        <f aca="false">P45*K45</f>
        <v>0.576</v>
      </c>
      <c r="S45" s="87" t="n">
        <v>0.58</v>
      </c>
      <c r="T45" s="79" t="str">
        <f aca="false">"S"&amp;(INT((H45-ProjectStart)/SprintLen)+1)</f>
        <v>S7</v>
      </c>
      <c r="U45" s="47"/>
      <c r="V45" s="69" t="str">
        <f aca="false">IF(AND($H45&lt;=V$6+6,$I45&gt;=V$6),1,"")</f>
        <v/>
      </c>
      <c r="W45" s="69" t="str">
        <f aca="false">IF(AND($H45&lt;=W$6+6,$I45&gt;=W$6),1,"")</f>
        <v/>
      </c>
      <c r="X45" s="69" t="str">
        <f aca="false">IF(AND($H45&lt;=X$6+6,$I45&gt;=X$6),1,"")</f>
        <v/>
      </c>
      <c r="Y45" s="69" t="str">
        <f aca="false">IF(AND($H45&lt;=Y$6+6,$I45&gt;=Y$6),1,"")</f>
        <v/>
      </c>
      <c r="Z45" s="69" t="str">
        <f aca="false">IF(AND($H45&lt;=Z$6+6,$I45&gt;=Z$6),1,"")</f>
        <v/>
      </c>
      <c r="AA45" s="69" t="str">
        <f aca="false">IF(AND($H45&lt;=AA$6+6,$I45&gt;=AA$6),1,"")</f>
        <v/>
      </c>
      <c r="AB45" s="69" t="str">
        <f aca="false">IF(AND($H45&lt;=AB$6+6,$I45&gt;=AB$6),1,"")</f>
        <v/>
      </c>
      <c r="AC45" s="69" t="str">
        <f aca="false">IF(AND($H45&lt;=AC$6+6,$I45&gt;=AC$6),1,"")</f>
        <v/>
      </c>
      <c r="AD45" s="69" t="str">
        <f aca="false">IF(AND($H45&lt;=AD$6+6,$I45&gt;=AD$6),1,"")</f>
        <v/>
      </c>
      <c r="AE45" s="69" t="str">
        <f aca="false">IF(AND($H45&lt;=AE$6+6,$I45&gt;=AE$6),1,"")</f>
        <v/>
      </c>
      <c r="AF45" s="69" t="str">
        <f aca="false">IF(AND($H45&lt;=AF$6+6,$I45&gt;=AF$6),1,"")</f>
        <v/>
      </c>
      <c r="AG45" s="69" t="str">
        <f aca="false">IF(AND($H45&lt;=AG$6+6,$I45&gt;=AG$6),1,"")</f>
        <v/>
      </c>
      <c r="AH45" s="69" t="n">
        <f aca="false">IF(AND($H45&lt;=AH$6+6,$I45&gt;=AH$6),1,"")</f>
        <v>1</v>
      </c>
      <c r="AI45" s="69" t="n">
        <f aca="false">IF(AND($H45&lt;=AI$6+6,$I45&gt;=AI$6),1,"")</f>
        <v>1</v>
      </c>
      <c r="AJ45" s="69" t="str">
        <f aca="false">IF(AND($H45&lt;=AJ$6+6,$I45&gt;=AJ$6),1,"")</f>
        <v/>
      </c>
      <c r="AK45" s="69" t="str">
        <f aca="false">IF(AND($H45&lt;=AK$6+6,$I45&gt;=AK$6),1,"")</f>
        <v/>
      </c>
      <c r="AL45" s="69" t="str">
        <f aca="false">IF(AND($H45&lt;=AL$6+6,$I45&gt;=AL$6),1,"")</f>
        <v/>
      </c>
      <c r="AM45" s="69" t="str">
        <f aca="false">IF(AND($H45&lt;=AM$6+6,$I45&gt;=AM$6),1,"")</f>
        <v/>
      </c>
      <c r="AN45" s="69" t="str">
        <f aca="false">IF(AND($H45&lt;=AN$6+6,$I45&gt;=AN$6),1,"")</f>
        <v/>
      </c>
      <c r="AO45" s="69" t="str">
        <f aca="false">IF(AND($H45&lt;=AO$6+6,$I45&gt;=AO$6),1,"")</f>
        <v/>
      </c>
      <c r="AP45" s="69" t="str">
        <f aca="false">IF(AND($H45&lt;=AP$6+6,$I45&gt;=AP$6),1,"")</f>
        <v/>
      </c>
    </row>
    <row r="46" customFormat="false" ht="21.75" hidden="false" customHeight="true" outlineLevel="1" collapsed="false">
      <c r="A46" s="78" t="s">
        <v>305</v>
      </c>
      <c r="B46" s="79" t="n">
        <v>2</v>
      </c>
      <c r="C46" s="47" t="s">
        <v>306</v>
      </c>
      <c r="D46" s="47" t="s">
        <v>307</v>
      </c>
      <c r="E46" s="47" t="s">
        <v>216</v>
      </c>
      <c r="F46" s="79" t="s">
        <v>294</v>
      </c>
      <c r="G46" s="80" t="n">
        <v>2</v>
      </c>
      <c r="H46" s="81" t="n">
        <f aca="false">WORKDAY(MAX($I$43),1,Holidays)</f>
        <v>46402</v>
      </c>
      <c r="I46" s="81" t="n">
        <f aca="false">WORKDAY(H46,G46-1,Holidays)</f>
        <v>46405</v>
      </c>
      <c r="J46" s="82" t="n">
        <f aca="false">IF(StatusDate&lt;H46,0,MIN(1,NETWORKDAYS(H46,StatusDate,Holidays)/G46))</f>
        <v>0.5</v>
      </c>
      <c r="K46" s="83" t="n">
        <v>1</v>
      </c>
      <c r="L46" s="84" t="n">
        <f aca="false">K46-J46</f>
        <v>0.5</v>
      </c>
      <c r="M46" s="79" t="str">
        <f aca="false">IF(K46&gt;=1,"Complete",IF(StatusDate&gt;I46,"Overdue",IF(K46&gt;0,IF(K46&lt;J46-0.1,"Behind","In Progress"),IF(StatusDate&gt;H46,"Late Start","Not Started"))))</f>
        <v>Complete</v>
      </c>
      <c r="N46" s="80" t="n">
        <v>1</v>
      </c>
      <c r="O46" s="85" t="n">
        <f aca="false">G46*N46</f>
        <v>2</v>
      </c>
      <c r="P46" s="86" t="n">
        <f aca="false">O46*BlendedRate</f>
        <v>0.64</v>
      </c>
      <c r="Q46" s="86" t="n">
        <f aca="false">P46*J46</f>
        <v>0.32</v>
      </c>
      <c r="R46" s="86" t="n">
        <f aca="false">P46*K46</f>
        <v>0.64</v>
      </c>
      <c r="S46" s="87" t="n">
        <v>0.64</v>
      </c>
      <c r="T46" s="79" t="str">
        <f aca="false">"S"&amp;(INT((H46-ProjectStart)/SprintLen)+1)</f>
        <v>S7</v>
      </c>
      <c r="U46" s="47"/>
      <c r="V46" s="69" t="str">
        <f aca="false">IF(AND($H46&lt;=V$6+6,$I46&gt;=V$6),1,"")</f>
        <v/>
      </c>
      <c r="W46" s="69" t="str">
        <f aca="false">IF(AND($H46&lt;=W$6+6,$I46&gt;=W$6),1,"")</f>
        <v/>
      </c>
      <c r="X46" s="69" t="str">
        <f aca="false">IF(AND($H46&lt;=X$6+6,$I46&gt;=X$6),1,"")</f>
        <v/>
      </c>
      <c r="Y46" s="69" t="str">
        <f aca="false">IF(AND($H46&lt;=Y$6+6,$I46&gt;=Y$6),1,"")</f>
        <v/>
      </c>
      <c r="Z46" s="69" t="str">
        <f aca="false">IF(AND($H46&lt;=Z$6+6,$I46&gt;=Z$6),1,"")</f>
        <v/>
      </c>
      <c r="AA46" s="69" t="str">
        <f aca="false">IF(AND($H46&lt;=AA$6+6,$I46&gt;=AA$6),1,"")</f>
        <v/>
      </c>
      <c r="AB46" s="69" t="str">
        <f aca="false">IF(AND($H46&lt;=AB$6+6,$I46&gt;=AB$6),1,"")</f>
        <v/>
      </c>
      <c r="AC46" s="69" t="str">
        <f aca="false">IF(AND($H46&lt;=AC$6+6,$I46&gt;=AC$6),1,"")</f>
        <v/>
      </c>
      <c r="AD46" s="69" t="str">
        <f aca="false">IF(AND($H46&lt;=AD$6+6,$I46&gt;=AD$6),1,"")</f>
        <v/>
      </c>
      <c r="AE46" s="69" t="str">
        <f aca="false">IF(AND($H46&lt;=AE$6+6,$I46&gt;=AE$6),1,"")</f>
        <v/>
      </c>
      <c r="AF46" s="69" t="str">
        <f aca="false">IF(AND($H46&lt;=AF$6+6,$I46&gt;=AF$6),1,"")</f>
        <v/>
      </c>
      <c r="AG46" s="69" t="str">
        <f aca="false">IF(AND($H46&lt;=AG$6+6,$I46&gt;=AG$6),1,"")</f>
        <v/>
      </c>
      <c r="AH46" s="69" t="n">
        <f aca="false">IF(AND($H46&lt;=AH$6+6,$I46&gt;=AH$6),1,"")</f>
        <v>1</v>
      </c>
      <c r="AI46" s="69" t="n">
        <f aca="false">IF(AND($H46&lt;=AI$6+6,$I46&gt;=AI$6),1,"")</f>
        <v>1</v>
      </c>
      <c r="AJ46" s="69" t="str">
        <f aca="false">IF(AND($H46&lt;=AJ$6+6,$I46&gt;=AJ$6),1,"")</f>
        <v/>
      </c>
      <c r="AK46" s="69" t="str">
        <f aca="false">IF(AND($H46&lt;=AK$6+6,$I46&gt;=AK$6),1,"")</f>
        <v/>
      </c>
      <c r="AL46" s="69" t="str">
        <f aca="false">IF(AND($H46&lt;=AL$6+6,$I46&gt;=AL$6),1,"")</f>
        <v/>
      </c>
      <c r="AM46" s="69" t="str">
        <f aca="false">IF(AND($H46&lt;=AM$6+6,$I46&gt;=AM$6),1,"")</f>
        <v/>
      </c>
      <c r="AN46" s="69" t="str">
        <f aca="false">IF(AND($H46&lt;=AN$6+6,$I46&gt;=AN$6),1,"")</f>
        <v/>
      </c>
      <c r="AO46" s="69" t="str">
        <f aca="false">IF(AND($H46&lt;=AO$6+6,$I46&gt;=AO$6),1,"")</f>
        <v/>
      </c>
      <c r="AP46" s="69" t="str">
        <f aca="false">IF(AND($H46&lt;=AP$6+6,$I46&gt;=AP$6),1,"")</f>
        <v/>
      </c>
    </row>
    <row r="47" customFormat="false" ht="21.75" hidden="false" customHeight="true" outlineLevel="1" collapsed="false">
      <c r="A47" s="78" t="s">
        <v>308</v>
      </c>
      <c r="B47" s="79" t="n">
        <v>2</v>
      </c>
      <c r="C47" s="47" t="s">
        <v>309</v>
      </c>
      <c r="D47" s="47" t="s">
        <v>310</v>
      </c>
      <c r="E47" s="47" t="s">
        <v>311</v>
      </c>
      <c r="F47" s="79" t="s">
        <v>302</v>
      </c>
      <c r="G47" s="80" t="n">
        <v>4</v>
      </c>
      <c r="H47" s="81" t="n">
        <f aca="false">WORKDAY(MAX($I$45),1,Holidays)</f>
        <v>46407</v>
      </c>
      <c r="I47" s="81" t="n">
        <f aca="false">WORKDAY(H47,G47-1,Holidays)</f>
        <v>46412</v>
      </c>
      <c r="J47" s="82" t="n">
        <f aca="false">IF(StatusDate&lt;H47,0,MIN(1,NETWORKDAYS(H47,StatusDate,Holidays)/G47))</f>
        <v>0</v>
      </c>
      <c r="K47" s="83" t="n">
        <v>0</v>
      </c>
      <c r="L47" s="84" t="n">
        <f aca="false">K47-J47</f>
        <v>0</v>
      </c>
      <c r="M47" s="79" t="str">
        <f aca="false">IF(K47&gt;=1,"Complete",IF(StatusDate&gt;I47,"Overdue",IF(K47&gt;0,IF(K47&lt;J47-0.1,"Behind","In Progress"),IF(StatusDate&gt;H47,"Late Start","Not Started"))))</f>
        <v>Not Started</v>
      </c>
      <c r="N47" s="80" t="n">
        <v>2</v>
      </c>
      <c r="O47" s="85" t="n">
        <f aca="false">G47*N47</f>
        <v>8</v>
      </c>
      <c r="P47" s="86" t="n">
        <f aca="false">O47*BlendedRate</f>
        <v>2.56</v>
      </c>
      <c r="Q47" s="86" t="n">
        <f aca="false">P47*J47</f>
        <v>0</v>
      </c>
      <c r="R47" s="86" t="n">
        <f aca="false">P47*K47</f>
        <v>0</v>
      </c>
      <c r="S47" s="87" t="n">
        <v>0</v>
      </c>
      <c r="T47" s="79" t="str">
        <f aca="false">"S"&amp;(INT((H47-ProjectStart)/SprintLen)+1)</f>
        <v>S7</v>
      </c>
      <c r="U47" s="47"/>
      <c r="V47" s="69" t="str">
        <f aca="false">IF(AND($H47&lt;=V$6+6,$I47&gt;=V$6),1,"")</f>
        <v/>
      </c>
      <c r="W47" s="69" t="str">
        <f aca="false">IF(AND($H47&lt;=W$6+6,$I47&gt;=W$6),1,"")</f>
        <v/>
      </c>
      <c r="X47" s="69" t="str">
        <f aca="false">IF(AND($H47&lt;=X$6+6,$I47&gt;=X$6),1,"")</f>
        <v/>
      </c>
      <c r="Y47" s="69" t="str">
        <f aca="false">IF(AND($H47&lt;=Y$6+6,$I47&gt;=Y$6),1,"")</f>
        <v/>
      </c>
      <c r="Z47" s="69" t="str">
        <f aca="false">IF(AND($H47&lt;=Z$6+6,$I47&gt;=Z$6),1,"")</f>
        <v/>
      </c>
      <c r="AA47" s="69" t="str">
        <f aca="false">IF(AND($H47&lt;=AA$6+6,$I47&gt;=AA$6),1,"")</f>
        <v/>
      </c>
      <c r="AB47" s="69" t="str">
        <f aca="false">IF(AND($H47&lt;=AB$6+6,$I47&gt;=AB$6),1,"")</f>
        <v/>
      </c>
      <c r="AC47" s="69" t="str">
        <f aca="false">IF(AND($H47&lt;=AC$6+6,$I47&gt;=AC$6),1,"")</f>
        <v/>
      </c>
      <c r="AD47" s="69" t="str">
        <f aca="false">IF(AND($H47&lt;=AD$6+6,$I47&gt;=AD$6),1,"")</f>
        <v/>
      </c>
      <c r="AE47" s="69" t="str">
        <f aca="false">IF(AND($H47&lt;=AE$6+6,$I47&gt;=AE$6),1,"")</f>
        <v/>
      </c>
      <c r="AF47" s="69" t="str">
        <f aca="false">IF(AND($H47&lt;=AF$6+6,$I47&gt;=AF$6),1,"")</f>
        <v/>
      </c>
      <c r="AG47" s="69" t="str">
        <f aca="false">IF(AND($H47&lt;=AG$6+6,$I47&gt;=AG$6),1,"")</f>
        <v/>
      </c>
      <c r="AH47" s="69" t="str">
        <f aca="false">IF(AND($H47&lt;=AH$6+6,$I47&gt;=AH$6),1,"")</f>
        <v/>
      </c>
      <c r="AI47" s="69" t="n">
        <f aca="false">IF(AND($H47&lt;=AI$6+6,$I47&gt;=AI$6),1,"")</f>
        <v>1</v>
      </c>
      <c r="AJ47" s="69" t="n">
        <f aca="false">IF(AND($H47&lt;=AJ$6+6,$I47&gt;=AJ$6),1,"")</f>
        <v>1</v>
      </c>
      <c r="AK47" s="69" t="str">
        <f aca="false">IF(AND($H47&lt;=AK$6+6,$I47&gt;=AK$6),1,"")</f>
        <v/>
      </c>
      <c r="AL47" s="69" t="str">
        <f aca="false">IF(AND($H47&lt;=AL$6+6,$I47&gt;=AL$6),1,"")</f>
        <v/>
      </c>
      <c r="AM47" s="69" t="str">
        <f aca="false">IF(AND($H47&lt;=AM$6+6,$I47&gt;=AM$6),1,"")</f>
        <v/>
      </c>
      <c r="AN47" s="69" t="str">
        <f aca="false">IF(AND($H47&lt;=AN$6+6,$I47&gt;=AN$6),1,"")</f>
        <v/>
      </c>
      <c r="AO47" s="69" t="str">
        <f aca="false">IF(AND($H47&lt;=AO$6+6,$I47&gt;=AO$6),1,"")</f>
        <v/>
      </c>
      <c r="AP47" s="69" t="str">
        <f aca="false">IF(AND($H47&lt;=AP$6+6,$I47&gt;=AP$6),1,"")</f>
        <v/>
      </c>
    </row>
    <row r="48" customFormat="false" ht="21.75" hidden="false" customHeight="true" outlineLevel="1" collapsed="false">
      <c r="A48" s="78" t="s">
        <v>312</v>
      </c>
      <c r="B48" s="79" t="n">
        <v>2</v>
      </c>
      <c r="C48" s="47" t="s">
        <v>313</v>
      </c>
      <c r="D48" s="47" t="s">
        <v>314</v>
      </c>
      <c r="E48" s="47" t="s">
        <v>198</v>
      </c>
      <c r="F48" s="79" t="s">
        <v>308</v>
      </c>
      <c r="G48" s="80" t="n">
        <v>3</v>
      </c>
      <c r="H48" s="81" t="n">
        <f aca="false">WORKDAY(MAX($I$47),1,Holidays)</f>
        <v>46414</v>
      </c>
      <c r="I48" s="81" t="n">
        <f aca="false">WORKDAY(H48,G48-1,Holidays)</f>
        <v>46416</v>
      </c>
      <c r="J48" s="82" t="n">
        <f aca="false">IF(StatusDate&lt;H48,0,MIN(1,NETWORKDAYS(H48,StatusDate,Holidays)/G48))</f>
        <v>0</v>
      </c>
      <c r="K48" s="83" t="n">
        <v>0</v>
      </c>
      <c r="L48" s="84" t="n">
        <f aca="false">K48-J48</f>
        <v>0</v>
      </c>
      <c r="M48" s="79" t="str">
        <f aca="false">IF(K48&gt;=1,"Complete",IF(StatusDate&gt;I48,"Overdue",IF(K48&gt;0,IF(K48&lt;J48-0.1,"Behind","In Progress"),IF(StatusDate&gt;H48,"Late Start","Not Started"))))</f>
        <v>Not Started</v>
      </c>
      <c r="N48" s="80" t="n">
        <v>2</v>
      </c>
      <c r="O48" s="85" t="n">
        <f aca="false">G48*N48</f>
        <v>6</v>
      </c>
      <c r="P48" s="86" t="n">
        <f aca="false">O48*BlendedRate</f>
        <v>1.92</v>
      </c>
      <c r="Q48" s="86" t="n">
        <f aca="false">P48*J48</f>
        <v>0</v>
      </c>
      <c r="R48" s="86" t="n">
        <f aca="false">P48*K48</f>
        <v>0</v>
      </c>
      <c r="S48" s="87" t="n">
        <v>0</v>
      </c>
      <c r="T48" s="79" t="str">
        <f aca="false">"S"&amp;(INT((H48-ProjectStart)/SprintLen)+1)</f>
        <v>S8</v>
      </c>
      <c r="U48" s="47"/>
      <c r="V48" s="69" t="str">
        <f aca="false">IF(AND($H48&lt;=V$6+6,$I48&gt;=V$6),1,"")</f>
        <v/>
      </c>
      <c r="W48" s="69" t="str">
        <f aca="false">IF(AND($H48&lt;=W$6+6,$I48&gt;=W$6),1,"")</f>
        <v/>
      </c>
      <c r="X48" s="69" t="str">
        <f aca="false">IF(AND($H48&lt;=X$6+6,$I48&gt;=X$6),1,"")</f>
        <v/>
      </c>
      <c r="Y48" s="69" t="str">
        <f aca="false">IF(AND($H48&lt;=Y$6+6,$I48&gt;=Y$6),1,"")</f>
        <v/>
      </c>
      <c r="Z48" s="69" t="str">
        <f aca="false">IF(AND($H48&lt;=Z$6+6,$I48&gt;=Z$6),1,"")</f>
        <v/>
      </c>
      <c r="AA48" s="69" t="str">
        <f aca="false">IF(AND($H48&lt;=AA$6+6,$I48&gt;=AA$6),1,"")</f>
        <v/>
      </c>
      <c r="AB48" s="69" t="str">
        <f aca="false">IF(AND($H48&lt;=AB$6+6,$I48&gt;=AB$6),1,"")</f>
        <v/>
      </c>
      <c r="AC48" s="69" t="str">
        <f aca="false">IF(AND($H48&lt;=AC$6+6,$I48&gt;=AC$6),1,"")</f>
        <v/>
      </c>
      <c r="AD48" s="69" t="str">
        <f aca="false">IF(AND($H48&lt;=AD$6+6,$I48&gt;=AD$6),1,"")</f>
        <v/>
      </c>
      <c r="AE48" s="69" t="str">
        <f aca="false">IF(AND($H48&lt;=AE$6+6,$I48&gt;=AE$6),1,"")</f>
        <v/>
      </c>
      <c r="AF48" s="69" t="str">
        <f aca="false">IF(AND($H48&lt;=AF$6+6,$I48&gt;=AF$6),1,"")</f>
        <v/>
      </c>
      <c r="AG48" s="69" t="str">
        <f aca="false">IF(AND($H48&lt;=AG$6+6,$I48&gt;=AG$6),1,"")</f>
        <v/>
      </c>
      <c r="AH48" s="69" t="str">
        <f aca="false">IF(AND($H48&lt;=AH$6+6,$I48&gt;=AH$6),1,"")</f>
        <v/>
      </c>
      <c r="AI48" s="69" t="str">
        <f aca="false">IF(AND($H48&lt;=AI$6+6,$I48&gt;=AI$6),1,"")</f>
        <v/>
      </c>
      <c r="AJ48" s="69" t="n">
        <f aca="false">IF(AND($H48&lt;=AJ$6+6,$I48&gt;=AJ$6),1,"")</f>
        <v>1</v>
      </c>
      <c r="AK48" s="69" t="str">
        <f aca="false">IF(AND($H48&lt;=AK$6+6,$I48&gt;=AK$6),1,"")</f>
        <v/>
      </c>
      <c r="AL48" s="69" t="str">
        <f aca="false">IF(AND($H48&lt;=AL$6+6,$I48&gt;=AL$6),1,"")</f>
        <v/>
      </c>
      <c r="AM48" s="69" t="str">
        <f aca="false">IF(AND($H48&lt;=AM$6+6,$I48&gt;=AM$6),1,"")</f>
        <v/>
      </c>
      <c r="AN48" s="69" t="str">
        <f aca="false">IF(AND($H48&lt;=AN$6+6,$I48&gt;=AN$6),1,"")</f>
        <v/>
      </c>
      <c r="AO48" s="69" t="str">
        <f aca="false">IF(AND($H48&lt;=AO$6+6,$I48&gt;=AO$6),1,"")</f>
        <v/>
      </c>
      <c r="AP48" s="69" t="str">
        <f aca="false">IF(AND($H48&lt;=AP$6+6,$I48&gt;=AP$6),1,"")</f>
        <v/>
      </c>
    </row>
    <row r="49" customFormat="false" ht="21.75" hidden="false" customHeight="true" outlineLevel="1" collapsed="false">
      <c r="A49" s="78" t="s">
        <v>315</v>
      </c>
      <c r="B49" s="79" t="n">
        <v>2</v>
      </c>
      <c r="C49" s="47" t="s">
        <v>316</v>
      </c>
      <c r="D49" s="47" t="s">
        <v>317</v>
      </c>
      <c r="E49" s="47" t="s">
        <v>318</v>
      </c>
      <c r="F49" s="79" t="s">
        <v>294</v>
      </c>
      <c r="G49" s="80" t="n">
        <v>4</v>
      </c>
      <c r="H49" s="81" t="n">
        <f aca="false">WORKDAY(MAX($I$43),1,Holidays)</f>
        <v>46402</v>
      </c>
      <c r="I49" s="81" t="n">
        <f aca="false">WORKDAY(H49,G49-1,Holidays)</f>
        <v>46407</v>
      </c>
      <c r="J49" s="82" t="n">
        <f aca="false">IF(StatusDate&lt;H49,0,MIN(1,NETWORKDAYS(H49,StatusDate,Holidays)/G49))</f>
        <v>0.25</v>
      </c>
      <c r="K49" s="83" t="n">
        <v>0.25</v>
      </c>
      <c r="L49" s="84" t="n">
        <f aca="false">K49-J49</f>
        <v>0</v>
      </c>
      <c r="M49" s="79" t="str">
        <f aca="false">IF(K49&gt;=1,"Complete",IF(StatusDate&gt;I49,"Overdue",IF(K49&gt;0,IF(K49&lt;J49-0.1,"Behind","In Progress"),IF(StatusDate&gt;H49,"Late Start","Not Started"))))</f>
        <v>In Progress</v>
      </c>
      <c r="N49" s="80" t="n">
        <v>3</v>
      </c>
      <c r="O49" s="85" t="n">
        <f aca="false">G49*N49</f>
        <v>12</v>
      </c>
      <c r="P49" s="86" t="n">
        <f aca="false">O49*BlendedRate</f>
        <v>3.84</v>
      </c>
      <c r="Q49" s="86" t="n">
        <f aca="false">P49*J49</f>
        <v>0.96</v>
      </c>
      <c r="R49" s="86" t="n">
        <f aca="false">P49*K49</f>
        <v>0.96</v>
      </c>
      <c r="S49" s="87" t="n">
        <v>0.96</v>
      </c>
      <c r="T49" s="79" t="str">
        <f aca="false">"S"&amp;(INT((H49-ProjectStart)/SprintLen)+1)</f>
        <v>S7</v>
      </c>
      <c r="U49" s="47"/>
      <c r="V49" s="69" t="str">
        <f aca="false">IF(AND($H49&lt;=V$6+6,$I49&gt;=V$6),1,"")</f>
        <v/>
      </c>
      <c r="W49" s="69" t="str">
        <f aca="false">IF(AND($H49&lt;=W$6+6,$I49&gt;=W$6),1,"")</f>
        <v/>
      </c>
      <c r="X49" s="69" t="str">
        <f aca="false">IF(AND($H49&lt;=X$6+6,$I49&gt;=X$6),1,"")</f>
        <v/>
      </c>
      <c r="Y49" s="69" t="str">
        <f aca="false">IF(AND($H49&lt;=Y$6+6,$I49&gt;=Y$6),1,"")</f>
        <v/>
      </c>
      <c r="Z49" s="69" t="str">
        <f aca="false">IF(AND($H49&lt;=Z$6+6,$I49&gt;=Z$6),1,"")</f>
        <v/>
      </c>
      <c r="AA49" s="69" t="str">
        <f aca="false">IF(AND($H49&lt;=AA$6+6,$I49&gt;=AA$6),1,"")</f>
        <v/>
      </c>
      <c r="AB49" s="69" t="str">
        <f aca="false">IF(AND($H49&lt;=AB$6+6,$I49&gt;=AB$6),1,"")</f>
        <v/>
      </c>
      <c r="AC49" s="69" t="str">
        <f aca="false">IF(AND($H49&lt;=AC$6+6,$I49&gt;=AC$6),1,"")</f>
        <v/>
      </c>
      <c r="AD49" s="69" t="str">
        <f aca="false">IF(AND($H49&lt;=AD$6+6,$I49&gt;=AD$6),1,"")</f>
        <v/>
      </c>
      <c r="AE49" s="69" t="str">
        <f aca="false">IF(AND($H49&lt;=AE$6+6,$I49&gt;=AE$6),1,"")</f>
        <v/>
      </c>
      <c r="AF49" s="69" t="str">
        <f aca="false">IF(AND($H49&lt;=AF$6+6,$I49&gt;=AF$6),1,"")</f>
        <v/>
      </c>
      <c r="AG49" s="69" t="str">
        <f aca="false">IF(AND($H49&lt;=AG$6+6,$I49&gt;=AG$6),1,"")</f>
        <v/>
      </c>
      <c r="AH49" s="69" t="n">
        <f aca="false">IF(AND($H49&lt;=AH$6+6,$I49&gt;=AH$6),1,"")</f>
        <v>1</v>
      </c>
      <c r="AI49" s="69" t="n">
        <f aca="false">IF(AND($H49&lt;=AI$6+6,$I49&gt;=AI$6),1,"")</f>
        <v>1</v>
      </c>
      <c r="AJ49" s="69" t="str">
        <f aca="false">IF(AND($H49&lt;=AJ$6+6,$I49&gt;=AJ$6),1,"")</f>
        <v/>
      </c>
      <c r="AK49" s="69" t="str">
        <f aca="false">IF(AND($H49&lt;=AK$6+6,$I49&gt;=AK$6),1,"")</f>
        <v/>
      </c>
      <c r="AL49" s="69" t="str">
        <f aca="false">IF(AND($H49&lt;=AL$6+6,$I49&gt;=AL$6),1,"")</f>
        <v/>
      </c>
      <c r="AM49" s="69" t="str">
        <f aca="false">IF(AND($H49&lt;=AM$6+6,$I49&gt;=AM$6),1,"")</f>
        <v/>
      </c>
      <c r="AN49" s="69" t="str">
        <f aca="false">IF(AND($H49&lt;=AN$6+6,$I49&gt;=AN$6),1,"")</f>
        <v/>
      </c>
      <c r="AO49" s="69" t="str">
        <f aca="false">IF(AND($H49&lt;=AO$6+6,$I49&gt;=AO$6),1,"")</f>
        <v/>
      </c>
      <c r="AP49" s="69" t="str">
        <f aca="false">IF(AND($H49&lt;=AP$6+6,$I49&gt;=AP$6),1,"")</f>
        <v/>
      </c>
    </row>
    <row r="50" customFormat="false" ht="21.75" hidden="false" customHeight="true" outlineLevel="1" collapsed="false">
      <c r="A50" s="78" t="s">
        <v>319</v>
      </c>
      <c r="B50" s="79" t="n">
        <v>2</v>
      </c>
      <c r="C50" s="47" t="s">
        <v>320</v>
      </c>
      <c r="D50" s="47" t="s">
        <v>321</v>
      </c>
      <c r="E50" s="47" t="s">
        <v>289</v>
      </c>
      <c r="F50" s="79" t="s">
        <v>315</v>
      </c>
      <c r="G50" s="80" t="n">
        <v>3</v>
      </c>
      <c r="H50" s="81" t="n">
        <f aca="false">WORKDAY(MAX($I$49),1,Holidays)</f>
        <v>46408</v>
      </c>
      <c r="I50" s="81" t="n">
        <f aca="false">WORKDAY(H50,G50-1,Holidays)</f>
        <v>46412</v>
      </c>
      <c r="J50" s="82" t="n">
        <f aca="false">IF(StatusDate&lt;H50,0,MIN(1,NETWORKDAYS(H50,StatusDate,Holidays)/G50))</f>
        <v>0</v>
      </c>
      <c r="K50" s="83" t="n">
        <v>0</v>
      </c>
      <c r="L50" s="84" t="n">
        <f aca="false">K50-J50</f>
        <v>0</v>
      </c>
      <c r="M50" s="79" t="str">
        <f aca="false">IF(K50&gt;=1,"Complete",IF(StatusDate&gt;I50,"Overdue",IF(K50&gt;0,IF(K50&lt;J50-0.1,"Behind","In Progress"),IF(StatusDate&gt;H50,"Late Start","Not Started"))))</f>
        <v>Not Started</v>
      </c>
      <c r="N50" s="80" t="n">
        <v>2</v>
      </c>
      <c r="O50" s="85" t="n">
        <f aca="false">G50*N50</f>
        <v>6</v>
      </c>
      <c r="P50" s="86" t="n">
        <f aca="false">O50*BlendedRate</f>
        <v>1.92</v>
      </c>
      <c r="Q50" s="86" t="n">
        <f aca="false">P50*J50</f>
        <v>0</v>
      </c>
      <c r="R50" s="86" t="n">
        <f aca="false">P50*K50</f>
        <v>0</v>
      </c>
      <c r="S50" s="87" t="n">
        <v>0</v>
      </c>
      <c r="T50" s="79" t="str">
        <f aca="false">"S"&amp;(INT((H50-ProjectStart)/SprintLen)+1)</f>
        <v>S7</v>
      </c>
      <c r="U50" s="47"/>
      <c r="V50" s="69" t="str">
        <f aca="false">IF(AND($H50&lt;=V$6+6,$I50&gt;=V$6),1,"")</f>
        <v/>
      </c>
      <c r="W50" s="69" t="str">
        <f aca="false">IF(AND($H50&lt;=W$6+6,$I50&gt;=W$6),1,"")</f>
        <v/>
      </c>
      <c r="X50" s="69" t="str">
        <f aca="false">IF(AND($H50&lt;=X$6+6,$I50&gt;=X$6),1,"")</f>
        <v/>
      </c>
      <c r="Y50" s="69" t="str">
        <f aca="false">IF(AND($H50&lt;=Y$6+6,$I50&gt;=Y$6),1,"")</f>
        <v/>
      </c>
      <c r="Z50" s="69" t="str">
        <f aca="false">IF(AND($H50&lt;=Z$6+6,$I50&gt;=Z$6),1,"")</f>
        <v/>
      </c>
      <c r="AA50" s="69" t="str">
        <f aca="false">IF(AND($H50&lt;=AA$6+6,$I50&gt;=AA$6),1,"")</f>
        <v/>
      </c>
      <c r="AB50" s="69" t="str">
        <f aca="false">IF(AND($H50&lt;=AB$6+6,$I50&gt;=AB$6),1,"")</f>
        <v/>
      </c>
      <c r="AC50" s="69" t="str">
        <f aca="false">IF(AND($H50&lt;=AC$6+6,$I50&gt;=AC$6),1,"")</f>
        <v/>
      </c>
      <c r="AD50" s="69" t="str">
        <f aca="false">IF(AND($H50&lt;=AD$6+6,$I50&gt;=AD$6),1,"")</f>
        <v/>
      </c>
      <c r="AE50" s="69" t="str">
        <f aca="false">IF(AND($H50&lt;=AE$6+6,$I50&gt;=AE$6),1,"")</f>
        <v/>
      </c>
      <c r="AF50" s="69" t="str">
        <f aca="false">IF(AND($H50&lt;=AF$6+6,$I50&gt;=AF$6),1,"")</f>
        <v/>
      </c>
      <c r="AG50" s="69" t="str">
        <f aca="false">IF(AND($H50&lt;=AG$6+6,$I50&gt;=AG$6),1,"")</f>
        <v/>
      </c>
      <c r="AH50" s="69" t="str">
        <f aca="false">IF(AND($H50&lt;=AH$6+6,$I50&gt;=AH$6),1,"")</f>
        <v/>
      </c>
      <c r="AI50" s="69" t="n">
        <f aca="false">IF(AND($H50&lt;=AI$6+6,$I50&gt;=AI$6),1,"")</f>
        <v>1</v>
      </c>
      <c r="AJ50" s="69" t="n">
        <f aca="false">IF(AND($H50&lt;=AJ$6+6,$I50&gt;=AJ$6),1,"")</f>
        <v>1</v>
      </c>
      <c r="AK50" s="69" t="str">
        <f aca="false">IF(AND($H50&lt;=AK$6+6,$I50&gt;=AK$6),1,"")</f>
        <v/>
      </c>
      <c r="AL50" s="69" t="str">
        <f aca="false">IF(AND($H50&lt;=AL$6+6,$I50&gt;=AL$6),1,"")</f>
        <v/>
      </c>
      <c r="AM50" s="69" t="str">
        <f aca="false">IF(AND($H50&lt;=AM$6+6,$I50&gt;=AM$6),1,"")</f>
        <v/>
      </c>
      <c r="AN50" s="69" t="str">
        <f aca="false">IF(AND($H50&lt;=AN$6+6,$I50&gt;=AN$6),1,"")</f>
        <v/>
      </c>
      <c r="AO50" s="69" t="str">
        <f aca="false">IF(AND($H50&lt;=AO$6+6,$I50&gt;=AO$6),1,"")</f>
        <v/>
      </c>
      <c r="AP50" s="69" t="str">
        <f aca="false">IF(AND($H50&lt;=AP$6+6,$I50&gt;=AP$6),1,"")</f>
        <v/>
      </c>
    </row>
    <row r="51" customFormat="false" ht="21.75" hidden="false" customHeight="true" outlineLevel="1" collapsed="false">
      <c r="A51" s="78" t="s">
        <v>322</v>
      </c>
      <c r="B51" s="79" t="n">
        <v>2</v>
      </c>
      <c r="C51" s="47" t="s">
        <v>323</v>
      </c>
      <c r="D51" s="47" t="s">
        <v>324</v>
      </c>
      <c r="E51" s="47" t="s">
        <v>289</v>
      </c>
      <c r="F51" s="79" t="s">
        <v>319</v>
      </c>
      <c r="G51" s="80" t="n">
        <v>3</v>
      </c>
      <c r="H51" s="81" t="n">
        <f aca="false">WORKDAY(MAX($I$50),1,Holidays)</f>
        <v>46414</v>
      </c>
      <c r="I51" s="81" t="n">
        <f aca="false">WORKDAY(H51,G51-1,Holidays)</f>
        <v>46416</v>
      </c>
      <c r="J51" s="82" t="n">
        <f aca="false">IF(StatusDate&lt;H51,0,MIN(1,NETWORKDAYS(H51,StatusDate,Holidays)/G51))</f>
        <v>0</v>
      </c>
      <c r="K51" s="83" t="n">
        <v>0</v>
      </c>
      <c r="L51" s="84" t="n">
        <f aca="false">K51-J51</f>
        <v>0</v>
      </c>
      <c r="M51" s="79" t="str">
        <f aca="false">IF(K51&gt;=1,"Complete",IF(StatusDate&gt;I51,"Overdue",IF(K51&gt;0,IF(K51&lt;J51-0.1,"Behind","In Progress"),IF(StatusDate&gt;H51,"Late Start","Not Started"))))</f>
        <v>Not Started</v>
      </c>
      <c r="N51" s="80" t="n">
        <v>2</v>
      </c>
      <c r="O51" s="85" t="n">
        <f aca="false">G51*N51</f>
        <v>6</v>
      </c>
      <c r="P51" s="86" t="n">
        <f aca="false">O51*BlendedRate</f>
        <v>1.92</v>
      </c>
      <c r="Q51" s="86" t="n">
        <f aca="false">P51*J51</f>
        <v>0</v>
      </c>
      <c r="R51" s="86" t="n">
        <f aca="false">P51*K51</f>
        <v>0</v>
      </c>
      <c r="S51" s="87" t="n">
        <v>0</v>
      </c>
      <c r="T51" s="79" t="str">
        <f aca="false">"S"&amp;(INT((H51-ProjectStart)/SprintLen)+1)</f>
        <v>S8</v>
      </c>
      <c r="U51" s="47"/>
      <c r="V51" s="69" t="str">
        <f aca="false">IF(AND($H51&lt;=V$6+6,$I51&gt;=V$6),1,"")</f>
        <v/>
      </c>
      <c r="W51" s="69" t="str">
        <f aca="false">IF(AND($H51&lt;=W$6+6,$I51&gt;=W$6),1,"")</f>
        <v/>
      </c>
      <c r="X51" s="69" t="str">
        <f aca="false">IF(AND($H51&lt;=X$6+6,$I51&gt;=X$6),1,"")</f>
        <v/>
      </c>
      <c r="Y51" s="69" t="str">
        <f aca="false">IF(AND($H51&lt;=Y$6+6,$I51&gt;=Y$6),1,"")</f>
        <v/>
      </c>
      <c r="Z51" s="69" t="str">
        <f aca="false">IF(AND($H51&lt;=Z$6+6,$I51&gt;=Z$6),1,"")</f>
        <v/>
      </c>
      <c r="AA51" s="69" t="str">
        <f aca="false">IF(AND($H51&lt;=AA$6+6,$I51&gt;=AA$6),1,"")</f>
        <v/>
      </c>
      <c r="AB51" s="69" t="str">
        <f aca="false">IF(AND($H51&lt;=AB$6+6,$I51&gt;=AB$6),1,"")</f>
        <v/>
      </c>
      <c r="AC51" s="69" t="str">
        <f aca="false">IF(AND($H51&lt;=AC$6+6,$I51&gt;=AC$6),1,"")</f>
        <v/>
      </c>
      <c r="AD51" s="69" t="str">
        <f aca="false">IF(AND($H51&lt;=AD$6+6,$I51&gt;=AD$6),1,"")</f>
        <v/>
      </c>
      <c r="AE51" s="69" t="str">
        <f aca="false">IF(AND($H51&lt;=AE$6+6,$I51&gt;=AE$6),1,"")</f>
        <v/>
      </c>
      <c r="AF51" s="69" t="str">
        <f aca="false">IF(AND($H51&lt;=AF$6+6,$I51&gt;=AF$6),1,"")</f>
        <v/>
      </c>
      <c r="AG51" s="69" t="str">
        <f aca="false">IF(AND($H51&lt;=AG$6+6,$I51&gt;=AG$6),1,"")</f>
        <v/>
      </c>
      <c r="AH51" s="69" t="str">
        <f aca="false">IF(AND($H51&lt;=AH$6+6,$I51&gt;=AH$6),1,"")</f>
        <v/>
      </c>
      <c r="AI51" s="69" t="str">
        <f aca="false">IF(AND($H51&lt;=AI$6+6,$I51&gt;=AI$6),1,"")</f>
        <v/>
      </c>
      <c r="AJ51" s="69" t="n">
        <f aca="false">IF(AND($H51&lt;=AJ$6+6,$I51&gt;=AJ$6),1,"")</f>
        <v>1</v>
      </c>
      <c r="AK51" s="69" t="str">
        <f aca="false">IF(AND($H51&lt;=AK$6+6,$I51&gt;=AK$6),1,"")</f>
        <v/>
      </c>
      <c r="AL51" s="69" t="str">
        <f aca="false">IF(AND($H51&lt;=AL$6+6,$I51&gt;=AL$6),1,"")</f>
        <v/>
      </c>
      <c r="AM51" s="69" t="str">
        <f aca="false">IF(AND($H51&lt;=AM$6+6,$I51&gt;=AM$6),1,"")</f>
        <v/>
      </c>
      <c r="AN51" s="69" t="str">
        <f aca="false">IF(AND($H51&lt;=AN$6+6,$I51&gt;=AN$6),1,"")</f>
        <v/>
      </c>
      <c r="AO51" s="69" t="str">
        <f aca="false">IF(AND($H51&lt;=AO$6+6,$I51&gt;=AO$6),1,"")</f>
        <v/>
      </c>
      <c r="AP51" s="69" t="str">
        <f aca="false">IF(AND($H51&lt;=AP$6+6,$I51&gt;=AP$6),1,"")</f>
        <v/>
      </c>
    </row>
    <row r="52" customFormat="false" ht="21.75" hidden="false" customHeight="true" outlineLevel="1" collapsed="false">
      <c r="A52" s="78" t="s">
        <v>325</v>
      </c>
      <c r="B52" s="79" t="n">
        <v>2</v>
      </c>
      <c r="C52" s="47" t="s">
        <v>326</v>
      </c>
      <c r="D52" s="47" t="s">
        <v>327</v>
      </c>
      <c r="E52" s="47" t="s">
        <v>328</v>
      </c>
      <c r="F52" s="79" t="s">
        <v>322</v>
      </c>
      <c r="G52" s="80" t="n">
        <v>3</v>
      </c>
      <c r="H52" s="81" t="n">
        <f aca="false">WORKDAY(MAX($I$51),1,Holidays)</f>
        <v>46419</v>
      </c>
      <c r="I52" s="81" t="n">
        <f aca="false">WORKDAY(H52,G52-1,Holidays)</f>
        <v>46421</v>
      </c>
      <c r="J52" s="82" t="n">
        <f aca="false">IF(StatusDate&lt;H52,0,MIN(1,NETWORKDAYS(H52,StatusDate,Holidays)/G52))</f>
        <v>0</v>
      </c>
      <c r="K52" s="83" t="n">
        <v>0</v>
      </c>
      <c r="L52" s="84" t="n">
        <f aca="false">K52-J52</f>
        <v>0</v>
      </c>
      <c r="M52" s="79" t="str">
        <f aca="false">IF(K52&gt;=1,"Complete",IF(StatusDate&gt;I52,"Overdue",IF(K52&gt;0,IF(K52&lt;J52-0.1,"Behind","In Progress"),IF(StatusDate&gt;H52,"Late Start","Not Started"))))</f>
        <v>Not Started</v>
      </c>
      <c r="N52" s="80" t="n">
        <v>2</v>
      </c>
      <c r="O52" s="85" t="n">
        <f aca="false">G52*N52</f>
        <v>6</v>
      </c>
      <c r="P52" s="86" t="n">
        <f aca="false">O52*BlendedRate</f>
        <v>1.92</v>
      </c>
      <c r="Q52" s="86" t="n">
        <f aca="false">P52*J52</f>
        <v>0</v>
      </c>
      <c r="R52" s="86" t="n">
        <f aca="false">P52*K52</f>
        <v>0</v>
      </c>
      <c r="S52" s="87" t="n">
        <v>0</v>
      </c>
      <c r="T52" s="79" t="str">
        <f aca="false">"S"&amp;(INT((H52-ProjectStart)/SprintLen)+1)</f>
        <v>S8</v>
      </c>
      <c r="U52" s="47"/>
      <c r="V52" s="69" t="str">
        <f aca="false">IF(AND($H52&lt;=V$6+6,$I52&gt;=V$6),1,"")</f>
        <v/>
      </c>
      <c r="W52" s="69" t="str">
        <f aca="false">IF(AND($H52&lt;=W$6+6,$I52&gt;=W$6),1,"")</f>
        <v/>
      </c>
      <c r="X52" s="69" t="str">
        <f aca="false">IF(AND($H52&lt;=X$6+6,$I52&gt;=X$6),1,"")</f>
        <v/>
      </c>
      <c r="Y52" s="69" t="str">
        <f aca="false">IF(AND($H52&lt;=Y$6+6,$I52&gt;=Y$6),1,"")</f>
        <v/>
      </c>
      <c r="Z52" s="69" t="str">
        <f aca="false">IF(AND($H52&lt;=Z$6+6,$I52&gt;=Z$6),1,"")</f>
        <v/>
      </c>
      <c r="AA52" s="69" t="str">
        <f aca="false">IF(AND($H52&lt;=AA$6+6,$I52&gt;=AA$6),1,"")</f>
        <v/>
      </c>
      <c r="AB52" s="69" t="str">
        <f aca="false">IF(AND($H52&lt;=AB$6+6,$I52&gt;=AB$6),1,"")</f>
        <v/>
      </c>
      <c r="AC52" s="69" t="str">
        <f aca="false">IF(AND($H52&lt;=AC$6+6,$I52&gt;=AC$6),1,"")</f>
        <v/>
      </c>
      <c r="AD52" s="69" t="str">
        <f aca="false">IF(AND($H52&lt;=AD$6+6,$I52&gt;=AD$6),1,"")</f>
        <v/>
      </c>
      <c r="AE52" s="69" t="str">
        <f aca="false">IF(AND($H52&lt;=AE$6+6,$I52&gt;=AE$6),1,"")</f>
        <v/>
      </c>
      <c r="AF52" s="69" t="str">
        <f aca="false">IF(AND($H52&lt;=AF$6+6,$I52&gt;=AF$6),1,"")</f>
        <v/>
      </c>
      <c r="AG52" s="69" t="str">
        <f aca="false">IF(AND($H52&lt;=AG$6+6,$I52&gt;=AG$6),1,"")</f>
        <v/>
      </c>
      <c r="AH52" s="69" t="str">
        <f aca="false">IF(AND($H52&lt;=AH$6+6,$I52&gt;=AH$6),1,"")</f>
        <v/>
      </c>
      <c r="AI52" s="69" t="str">
        <f aca="false">IF(AND($H52&lt;=AI$6+6,$I52&gt;=AI$6),1,"")</f>
        <v/>
      </c>
      <c r="AJ52" s="69" t="str">
        <f aca="false">IF(AND($H52&lt;=AJ$6+6,$I52&gt;=AJ$6),1,"")</f>
        <v/>
      </c>
      <c r="AK52" s="69" t="n">
        <f aca="false">IF(AND($H52&lt;=AK$6+6,$I52&gt;=AK$6),1,"")</f>
        <v>1</v>
      </c>
      <c r="AL52" s="69" t="str">
        <f aca="false">IF(AND($H52&lt;=AL$6+6,$I52&gt;=AL$6),1,"")</f>
        <v/>
      </c>
      <c r="AM52" s="69" t="str">
        <f aca="false">IF(AND($H52&lt;=AM$6+6,$I52&gt;=AM$6),1,"")</f>
        <v/>
      </c>
      <c r="AN52" s="69" t="str">
        <f aca="false">IF(AND($H52&lt;=AN$6+6,$I52&gt;=AN$6),1,"")</f>
        <v/>
      </c>
      <c r="AO52" s="69" t="str">
        <f aca="false">IF(AND($H52&lt;=AO$6+6,$I52&gt;=AO$6),1,"")</f>
        <v/>
      </c>
      <c r="AP52" s="69" t="str">
        <f aca="false">IF(AND($H52&lt;=AP$6+6,$I52&gt;=AP$6),1,"")</f>
        <v/>
      </c>
    </row>
    <row r="53" customFormat="false" ht="21.75" hidden="false" customHeight="true" outlineLevel="1" collapsed="false">
      <c r="A53" s="78" t="s">
        <v>329</v>
      </c>
      <c r="B53" s="79" t="n">
        <v>2</v>
      </c>
      <c r="C53" s="47" t="s">
        <v>330</v>
      </c>
      <c r="D53" s="47" t="s">
        <v>331</v>
      </c>
      <c r="E53" s="47" t="s">
        <v>216</v>
      </c>
      <c r="F53" s="79" t="s">
        <v>305</v>
      </c>
      <c r="G53" s="80" t="n">
        <v>3</v>
      </c>
      <c r="H53" s="81" t="n">
        <f aca="false">WORKDAY(MAX($I$46),1,Holidays)</f>
        <v>46406</v>
      </c>
      <c r="I53" s="81" t="n">
        <f aca="false">WORKDAY(H53,G53-1,Holidays)</f>
        <v>46408</v>
      </c>
      <c r="J53" s="82" t="n">
        <f aca="false">IF(StatusDate&lt;H53,0,MIN(1,NETWORKDAYS(H53,StatusDate,Holidays)/G53))</f>
        <v>0</v>
      </c>
      <c r="K53" s="83" t="n">
        <v>0</v>
      </c>
      <c r="L53" s="84" t="n">
        <f aca="false">K53-J53</f>
        <v>0</v>
      </c>
      <c r="M53" s="79" t="str">
        <f aca="false">IF(K53&gt;=1,"Complete",IF(StatusDate&gt;I53,"Overdue",IF(K53&gt;0,IF(K53&lt;J53-0.1,"Behind","In Progress"),IF(StatusDate&gt;H53,"Late Start","Not Started"))))</f>
        <v>Not Started</v>
      </c>
      <c r="N53" s="80" t="n">
        <v>2</v>
      </c>
      <c r="O53" s="85" t="n">
        <f aca="false">G53*N53</f>
        <v>6</v>
      </c>
      <c r="P53" s="86" t="n">
        <f aca="false">O53*BlendedRate</f>
        <v>1.92</v>
      </c>
      <c r="Q53" s="86" t="n">
        <f aca="false">P53*J53</f>
        <v>0</v>
      </c>
      <c r="R53" s="86" t="n">
        <f aca="false">P53*K53</f>
        <v>0</v>
      </c>
      <c r="S53" s="87" t="n">
        <v>0</v>
      </c>
      <c r="T53" s="79" t="str">
        <f aca="false">"S"&amp;(INT((H53-ProjectStart)/SprintLen)+1)</f>
        <v>S7</v>
      </c>
      <c r="U53" s="47"/>
      <c r="V53" s="69" t="str">
        <f aca="false">IF(AND($H53&lt;=V$6+6,$I53&gt;=V$6),1,"")</f>
        <v/>
      </c>
      <c r="W53" s="69" t="str">
        <f aca="false">IF(AND($H53&lt;=W$6+6,$I53&gt;=W$6),1,"")</f>
        <v/>
      </c>
      <c r="X53" s="69" t="str">
        <f aca="false">IF(AND($H53&lt;=X$6+6,$I53&gt;=X$6),1,"")</f>
        <v/>
      </c>
      <c r="Y53" s="69" t="str">
        <f aca="false">IF(AND($H53&lt;=Y$6+6,$I53&gt;=Y$6),1,"")</f>
        <v/>
      </c>
      <c r="Z53" s="69" t="str">
        <f aca="false">IF(AND($H53&lt;=Z$6+6,$I53&gt;=Z$6),1,"")</f>
        <v/>
      </c>
      <c r="AA53" s="69" t="str">
        <f aca="false">IF(AND($H53&lt;=AA$6+6,$I53&gt;=AA$6),1,"")</f>
        <v/>
      </c>
      <c r="AB53" s="69" t="str">
        <f aca="false">IF(AND($H53&lt;=AB$6+6,$I53&gt;=AB$6),1,"")</f>
        <v/>
      </c>
      <c r="AC53" s="69" t="str">
        <f aca="false">IF(AND($H53&lt;=AC$6+6,$I53&gt;=AC$6),1,"")</f>
        <v/>
      </c>
      <c r="AD53" s="69" t="str">
        <f aca="false">IF(AND($H53&lt;=AD$6+6,$I53&gt;=AD$6),1,"")</f>
        <v/>
      </c>
      <c r="AE53" s="69" t="str">
        <f aca="false">IF(AND($H53&lt;=AE$6+6,$I53&gt;=AE$6),1,"")</f>
        <v/>
      </c>
      <c r="AF53" s="69" t="str">
        <f aca="false">IF(AND($H53&lt;=AF$6+6,$I53&gt;=AF$6),1,"")</f>
        <v/>
      </c>
      <c r="AG53" s="69" t="str">
        <f aca="false">IF(AND($H53&lt;=AG$6+6,$I53&gt;=AG$6),1,"")</f>
        <v/>
      </c>
      <c r="AH53" s="69" t="str">
        <f aca="false">IF(AND($H53&lt;=AH$6+6,$I53&gt;=AH$6),1,"")</f>
        <v/>
      </c>
      <c r="AI53" s="69" t="n">
        <f aca="false">IF(AND($H53&lt;=AI$6+6,$I53&gt;=AI$6),1,"")</f>
        <v>1</v>
      </c>
      <c r="AJ53" s="69" t="str">
        <f aca="false">IF(AND($H53&lt;=AJ$6+6,$I53&gt;=AJ$6),1,"")</f>
        <v/>
      </c>
      <c r="AK53" s="69" t="str">
        <f aca="false">IF(AND($H53&lt;=AK$6+6,$I53&gt;=AK$6),1,"")</f>
        <v/>
      </c>
      <c r="AL53" s="69" t="str">
        <f aca="false">IF(AND($H53&lt;=AL$6+6,$I53&gt;=AL$6),1,"")</f>
        <v/>
      </c>
      <c r="AM53" s="69" t="str">
        <f aca="false">IF(AND($H53&lt;=AM$6+6,$I53&gt;=AM$6),1,"")</f>
        <v/>
      </c>
      <c r="AN53" s="69" t="str">
        <f aca="false">IF(AND($H53&lt;=AN$6+6,$I53&gt;=AN$6),1,"")</f>
        <v/>
      </c>
      <c r="AO53" s="69" t="str">
        <f aca="false">IF(AND($H53&lt;=AO$6+6,$I53&gt;=AO$6),1,"")</f>
        <v/>
      </c>
      <c r="AP53" s="69" t="str">
        <f aca="false">IF(AND($H53&lt;=AP$6+6,$I53&gt;=AP$6),1,"")</f>
        <v/>
      </c>
    </row>
    <row r="54" customFormat="false" ht="21.75" hidden="false" customHeight="true" outlineLevel="1" collapsed="false">
      <c r="A54" s="78" t="s">
        <v>332</v>
      </c>
      <c r="B54" s="79" t="n">
        <v>2</v>
      </c>
      <c r="C54" s="47" t="s">
        <v>333</v>
      </c>
      <c r="D54" s="47" t="s">
        <v>334</v>
      </c>
      <c r="E54" s="47" t="s">
        <v>335</v>
      </c>
      <c r="F54" s="79" t="s">
        <v>336</v>
      </c>
      <c r="G54" s="80" t="n">
        <v>4</v>
      </c>
      <c r="H54" s="81" t="n">
        <f aca="false">WORKDAY(MAX($I$48,$I$52,$I$53),1,Holidays)</f>
        <v>46422</v>
      </c>
      <c r="I54" s="81" t="n">
        <f aca="false">WORKDAY(H54,G54-1,Holidays)</f>
        <v>46427</v>
      </c>
      <c r="J54" s="82" t="n">
        <f aca="false">IF(StatusDate&lt;H54,0,MIN(1,NETWORKDAYS(H54,StatusDate,Holidays)/G54))</f>
        <v>0</v>
      </c>
      <c r="K54" s="83" t="n">
        <v>0</v>
      </c>
      <c r="L54" s="84" t="n">
        <f aca="false">K54-J54</f>
        <v>0</v>
      </c>
      <c r="M54" s="79" t="str">
        <f aca="false">IF(K54&gt;=1,"Complete",IF(StatusDate&gt;I54,"Overdue",IF(K54&gt;0,IF(K54&lt;J54-0.1,"Behind","In Progress"),IF(StatusDate&gt;H54,"Late Start","Not Started"))))</f>
        <v>Not Started</v>
      </c>
      <c r="N54" s="80" t="n">
        <v>4</v>
      </c>
      <c r="O54" s="85" t="n">
        <f aca="false">G54*N54</f>
        <v>16</v>
      </c>
      <c r="P54" s="86" t="n">
        <f aca="false">O54*BlendedRate</f>
        <v>5.12</v>
      </c>
      <c r="Q54" s="86" t="n">
        <f aca="false">P54*J54</f>
        <v>0</v>
      </c>
      <c r="R54" s="86" t="n">
        <f aca="false">P54*K54</f>
        <v>0</v>
      </c>
      <c r="S54" s="87" t="n">
        <v>0</v>
      </c>
      <c r="T54" s="79" t="str">
        <f aca="false">"S"&amp;(INT((H54-ProjectStart)/SprintLen)+1)</f>
        <v>S8</v>
      </c>
      <c r="U54" s="47"/>
      <c r="V54" s="69" t="str">
        <f aca="false">IF(AND($H54&lt;=V$6+6,$I54&gt;=V$6),1,"")</f>
        <v/>
      </c>
      <c r="W54" s="69" t="str">
        <f aca="false">IF(AND($H54&lt;=W$6+6,$I54&gt;=W$6),1,"")</f>
        <v/>
      </c>
      <c r="X54" s="69" t="str">
        <f aca="false">IF(AND($H54&lt;=X$6+6,$I54&gt;=X$6),1,"")</f>
        <v/>
      </c>
      <c r="Y54" s="69" t="str">
        <f aca="false">IF(AND($H54&lt;=Y$6+6,$I54&gt;=Y$6),1,"")</f>
        <v/>
      </c>
      <c r="Z54" s="69" t="str">
        <f aca="false">IF(AND($H54&lt;=Z$6+6,$I54&gt;=Z$6),1,"")</f>
        <v/>
      </c>
      <c r="AA54" s="69" t="str">
        <f aca="false">IF(AND($H54&lt;=AA$6+6,$I54&gt;=AA$6),1,"")</f>
        <v/>
      </c>
      <c r="AB54" s="69" t="str">
        <f aca="false">IF(AND($H54&lt;=AB$6+6,$I54&gt;=AB$6),1,"")</f>
        <v/>
      </c>
      <c r="AC54" s="69" t="str">
        <f aca="false">IF(AND($H54&lt;=AC$6+6,$I54&gt;=AC$6),1,"")</f>
        <v/>
      </c>
      <c r="AD54" s="69" t="str">
        <f aca="false">IF(AND($H54&lt;=AD$6+6,$I54&gt;=AD$6),1,"")</f>
        <v/>
      </c>
      <c r="AE54" s="69" t="str">
        <f aca="false">IF(AND($H54&lt;=AE$6+6,$I54&gt;=AE$6),1,"")</f>
        <v/>
      </c>
      <c r="AF54" s="69" t="str">
        <f aca="false">IF(AND($H54&lt;=AF$6+6,$I54&gt;=AF$6),1,"")</f>
        <v/>
      </c>
      <c r="AG54" s="69" t="str">
        <f aca="false">IF(AND($H54&lt;=AG$6+6,$I54&gt;=AG$6),1,"")</f>
        <v/>
      </c>
      <c r="AH54" s="69" t="str">
        <f aca="false">IF(AND($H54&lt;=AH$6+6,$I54&gt;=AH$6),1,"")</f>
        <v/>
      </c>
      <c r="AI54" s="69" t="str">
        <f aca="false">IF(AND($H54&lt;=AI$6+6,$I54&gt;=AI$6),1,"")</f>
        <v/>
      </c>
      <c r="AJ54" s="69" t="str">
        <f aca="false">IF(AND($H54&lt;=AJ$6+6,$I54&gt;=AJ$6),1,"")</f>
        <v/>
      </c>
      <c r="AK54" s="69" t="n">
        <f aca="false">IF(AND($H54&lt;=AK$6+6,$I54&gt;=AK$6),1,"")</f>
        <v>1</v>
      </c>
      <c r="AL54" s="69" t="n">
        <f aca="false">IF(AND($H54&lt;=AL$6+6,$I54&gt;=AL$6),1,"")</f>
        <v>1</v>
      </c>
      <c r="AM54" s="69" t="str">
        <f aca="false">IF(AND($H54&lt;=AM$6+6,$I54&gt;=AM$6),1,"")</f>
        <v/>
      </c>
      <c r="AN54" s="69" t="str">
        <f aca="false">IF(AND($H54&lt;=AN$6+6,$I54&gt;=AN$6),1,"")</f>
        <v/>
      </c>
      <c r="AO54" s="69" t="str">
        <f aca="false">IF(AND($H54&lt;=AO$6+6,$I54&gt;=AO$6),1,"")</f>
        <v/>
      </c>
      <c r="AP54" s="69" t="str">
        <f aca="false">IF(AND($H54&lt;=AP$6+6,$I54&gt;=AP$6),1,"")</f>
        <v/>
      </c>
    </row>
    <row r="55" customFormat="false" ht="21.75" hidden="false" customHeight="true" outlineLevel="1" collapsed="false">
      <c r="A55" s="88" t="s">
        <v>337</v>
      </c>
      <c r="B55" s="89" t="n">
        <v>2</v>
      </c>
      <c r="C55" s="90" t="s">
        <v>338</v>
      </c>
      <c r="D55" s="91" t="s">
        <v>339</v>
      </c>
      <c r="E55" s="91" t="s">
        <v>206</v>
      </c>
      <c r="F55" s="89" t="s">
        <v>340</v>
      </c>
      <c r="G55" s="89" t="n">
        <v>0</v>
      </c>
      <c r="H55" s="92" t="n">
        <f aca="false">I55</f>
        <v>46430</v>
      </c>
      <c r="I55" s="92" t="n">
        <f aca="false">WORKDAY(ProjectStart-1,80,Holidays)</f>
        <v>46430</v>
      </c>
      <c r="J55" s="93" t="n">
        <f aca="false">IF(StatusDate&gt;=I55,1,0)</f>
        <v>0</v>
      </c>
      <c r="K55" s="94" t="n">
        <v>0</v>
      </c>
      <c r="L55" s="95" t="n">
        <f aca="false">K55-J55</f>
        <v>0</v>
      </c>
      <c r="M55" s="89" t="str">
        <f aca="false">IF(K55&gt;=1,"Complete",IF(StatusDate&gt;I55,"Overdue",IF(K55&gt;0,IF(K55&lt;J55-0.1,"Behind","In Progress"),IF(StatusDate&gt;H55,"Late Start","Not Started"))))</f>
        <v>Not Started</v>
      </c>
      <c r="N55" s="89"/>
      <c r="O55" s="96"/>
      <c r="P55" s="97"/>
      <c r="Q55" s="97"/>
      <c r="R55" s="97"/>
      <c r="S55" s="97"/>
      <c r="T55" s="89" t="str">
        <f aca="false">"S"&amp;(INT((H55-ProjectStart)/SprintLen)+1)</f>
        <v>S9</v>
      </c>
      <c r="U55" s="91" t="s">
        <v>208</v>
      </c>
      <c r="V55" s="98" t="str">
        <f aca="false">IF(AND($I55&gt;=V$6,$I55&lt;=V$6+6),"◆","")</f>
        <v/>
      </c>
      <c r="W55" s="98" t="str">
        <f aca="false">IF(AND($I55&gt;=W$6,$I55&lt;=W$6+6),"◆","")</f>
        <v/>
      </c>
      <c r="X55" s="98" t="str">
        <f aca="false">IF(AND($I55&gt;=X$6,$I55&lt;=X$6+6),"◆","")</f>
        <v/>
      </c>
      <c r="Y55" s="98" t="str">
        <f aca="false">IF(AND($I55&gt;=Y$6,$I55&lt;=Y$6+6),"◆","")</f>
        <v/>
      </c>
      <c r="Z55" s="98" t="str">
        <f aca="false">IF(AND($I55&gt;=Z$6,$I55&lt;=Z$6+6),"◆","")</f>
        <v/>
      </c>
      <c r="AA55" s="98" t="str">
        <f aca="false">IF(AND($I55&gt;=AA$6,$I55&lt;=AA$6+6),"◆","")</f>
        <v/>
      </c>
      <c r="AB55" s="98" t="str">
        <f aca="false">IF(AND($I55&gt;=AB$6,$I55&lt;=AB$6+6),"◆","")</f>
        <v/>
      </c>
      <c r="AC55" s="98" t="str">
        <f aca="false">IF(AND($I55&gt;=AC$6,$I55&lt;=AC$6+6),"◆","")</f>
        <v/>
      </c>
      <c r="AD55" s="98" t="str">
        <f aca="false">IF(AND($I55&gt;=AD$6,$I55&lt;=AD$6+6),"◆","")</f>
        <v/>
      </c>
      <c r="AE55" s="98" t="str">
        <f aca="false">IF(AND($I55&gt;=AE$6,$I55&lt;=AE$6+6),"◆","")</f>
        <v/>
      </c>
      <c r="AF55" s="98" t="str">
        <f aca="false">IF(AND($I55&gt;=AF$6,$I55&lt;=AF$6+6),"◆","")</f>
        <v/>
      </c>
      <c r="AG55" s="98" t="str">
        <f aca="false">IF(AND($I55&gt;=AG$6,$I55&lt;=AG$6+6),"◆","")</f>
        <v/>
      </c>
      <c r="AH55" s="98" t="str">
        <f aca="false">IF(AND($I55&gt;=AH$6,$I55&lt;=AH$6+6),"◆","")</f>
        <v/>
      </c>
      <c r="AI55" s="98" t="str">
        <f aca="false">IF(AND($I55&gt;=AI$6,$I55&lt;=AI$6+6),"◆","")</f>
        <v/>
      </c>
      <c r="AJ55" s="98" t="str">
        <f aca="false">IF(AND($I55&gt;=AJ$6,$I55&lt;=AJ$6+6),"◆","")</f>
        <v/>
      </c>
      <c r="AK55" s="98" t="str">
        <f aca="false">IF(AND($I55&gt;=AK$6,$I55&lt;=AK$6+6),"◆","")</f>
        <v/>
      </c>
      <c r="AL55" s="98" t="str">
        <f aca="false">IF(AND($I55&gt;=AL$6,$I55&lt;=AL$6+6),"◆","")</f>
        <v>◆</v>
      </c>
      <c r="AM55" s="98" t="str">
        <f aca="false">IF(AND($I55&gt;=AM$6,$I55&lt;=AM$6+6),"◆","")</f>
        <v/>
      </c>
      <c r="AN55" s="98" t="str">
        <f aca="false">IF(AND($I55&gt;=AN$6,$I55&lt;=AN$6+6),"◆","")</f>
        <v/>
      </c>
      <c r="AO55" s="98" t="str">
        <f aca="false">IF(AND($I55&gt;=AO$6,$I55&lt;=AO$6+6),"◆","")</f>
        <v/>
      </c>
      <c r="AP55" s="98" t="str">
        <f aca="false">IF(AND($I55&gt;=AP$6,$I55&lt;=AP$6+6),"◆","")</f>
        <v/>
      </c>
    </row>
    <row r="56" customFormat="false" ht="30" hidden="false" customHeight="true" outlineLevel="0" collapsed="false">
      <c r="A56" s="70" t="s">
        <v>341</v>
      </c>
      <c r="B56" s="71" t="n">
        <v>1</v>
      </c>
      <c r="C56" s="72" t="s">
        <v>342</v>
      </c>
      <c r="D56" s="72" t="s">
        <v>343</v>
      </c>
      <c r="E56" s="72" t="s">
        <v>163</v>
      </c>
      <c r="F56" s="71"/>
      <c r="G56" s="71" t="n">
        <f aca="false">NETWORKDAYS(H56,I56,Holidays)</f>
        <v>20</v>
      </c>
      <c r="H56" s="73" t="n">
        <f aca="false">MIN(H57:H68)</f>
        <v>46433</v>
      </c>
      <c r="I56" s="73" t="n">
        <f aca="false">MAX(I57:I68)</f>
        <v>46458</v>
      </c>
      <c r="J56" s="74" t="n">
        <f aca="false">IF(P56=0,0,Q56/P56)</f>
        <v>0</v>
      </c>
      <c r="K56" s="74" t="n">
        <f aca="false">IF(P56=0,0,R56/P56)</f>
        <v>0</v>
      </c>
      <c r="L56" s="75" t="n">
        <f aca="false">K56-J56</f>
        <v>0</v>
      </c>
      <c r="M56" s="71" t="str">
        <f aca="false">IF(K56&gt;=1,"Complete",IF(StatusDate&gt;I56,"Overdue",IF(K56&gt;0,IF(K56&lt;J56-0.1,"Behind","In Progress"),IF(StatusDate&gt;H56,"Late Start","Not Started"))))</f>
        <v>Not Started</v>
      </c>
      <c r="N56" s="71" t="n">
        <f aca="false">MAX(N57:N68)</f>
        <v>4</v>
      </c>
      <c r="O56" s="76" t="n">
        <f aca="false">SUM(O57:O68)</f>
        <v>75</v>
      </c>
      <c r="P56" s="77" t="n">
        <f aca="false">SUM(P57:P68)</f>
        <v>24</v>
      </c>
      <c r="Q56" s="77" t="n">
        <f aca="false">SUM(Q57:Q68)</f>
        <v>0</v>
      </c>
      <c r="R56" s="77" t="n">
        <f aca="false">SUM(R57:R68)</f>
        <v>0</v>
      </c>
      <c r="S56" s="77" t="n">
        <f aca="false">SUM(S57:S68)</f>
        <v>0</v>
      </c>
      <c r="T56" s="71"/>
      <c r="U56" s="72" t="s">
        <v>344</v>
      </c>
      <c r="V56" s="69" t="str">
        <f aca="false">IF(AND($H56&lt;=V$6+6,$I56&gt;=V$6),1,"")</f>
        <v/>
      </c>
      <c r="W56" s="69" t="str">
        <f aca="false">IF(AND($H56&lt;=W$6+6,$I56&gt;=W$6),1,"")</f>
        <v/>
      </c>
      <c r="X56" s="69" t="str">
        <f aca="false">IF(AND($H56&lt;=X$6+6,$I56&gt;=X$6),1,"")</f>
        <v/>
      </c>
      <c r="Y56" s="69" t="str">
        <f aca="false">IF(AND($H56&lt;=Y$6+6,$I56&gt;=Y$6),1,"")</f>
        <v/>
      </c>
      <c r="Z56" s="69" t="str">
        <f aca="false">IF(AND($H56&lt;=Z$6+6,$I56&gt;=Z$6),1,"")</f>
        <v/>
      </c>
      <c r="AA56" s="69" t="str">
        <f aca="false">IF(AND($H56&lt;=AA$6+6,$I56&gt;=AA$6),1,"")</f>
        <v/>
      </c>
      <c r="AB56" s="69" t="str">
        <f aca="false">IF(AND($H56&lt;=AB$6+6,$I56&gt;=AB$6),1,"")</f>
        <v/>
      </c>
      <c r="AC56" s="69" t="str">
        <f aca="false">IF(AND($H56&lt;=AC$6+6,$I56&gt;=AC$6),1,"")</f>
        <v/>
      </c>
      <c r="AD56" s="69" t="str">
        <f aca="false">IF(AND($H56&lt;=AD$6+6,$I56&gt;=AD$6),1,"")</f>
        <v/>
      </c>
      <c r="AE56" s="69" t="str">
        <f aca="false">IF(AND($H56&lt;=AE$6+6,$I56&gt;=AE$6),1,"")</f>
        <v/>
      </c>
      <c r="AF56" s="69" t="str">
        <f aca="false">IF(AND($H56&lt;=AF$6+6,$I56&gt;=AF$6),1,"")</f>
        <v/>
      </c>
      <c r="AG56" s="69" t="str">
        <f aca="false">IF(AND($H56&lt;=AG$6+6,$I56&gt;=AG$6),1,"")</f>
        <v/>
      </c>
      <c r="AH56" s="69" t="str">
        <f aca="false">IF(AND($H56&lt;=AH$6+6,$I56&gt;=AH$6),1,"")</f>
        <v/>
      </c>
      <c r="AI56" s="69" t="str">
        <f aca="false">IF(AND($H56&lt;=AI$6+6,$I56&gt;=AI$6),1,"")</f>
        <v/>
      </c>
      <c r="AJ56" s="69" t="str">
        <f aca="false">IF(AND($H56&lt;=AJ$6+6,$I56&gt;=AJ$6),1,"")</f>
        <v/>
      </c>
      <c r="AK56" s="69" t="str">
        <f aca="false">IF(AND($H56&lt;=AK$6+6,$I56&gt;=AK$6),1,"")</f>
        <v/>
      </c>
      <c r="AL56" s="69" t="str">
        <f aca="false">IF(AND($H56&lt;=AL$6+6,$I56&gt;=AL$6),1,"")</f>
        <v/>
      </c>
      <c r="AM56" s="69" t="n">
        <f aca="false">IF(AND($H56&lt;=AM$6+6,$I56&gt;=AM$6),1,"")</f>
        <v>1</v>
      </c>
      <c r="AN56" s="69" t="n">
        <f aca="false">IF(AND($H56&lt;=AN$6+6,$I56&gt;=AN$6),1,"")</f>
        <v>1</v>
      </c>
      <c r="AO56" s="69" t="n">
        <f aca="false">IF(AND($H56&lt;=AO$6+6,$I56&gt;=AO$6),1,"")</f>
        <v>1</v>
      </c>
      <c r="AP56" s="69" t="n">
        <f aca="false">IF(AND($H56&lt;=AP$6+6,$I56&gt;=AP$6),1,"")</f>
        <v>1</v>
      </c>
    </row>
    <row r="57" customFormat="false" ht="21.75" hidden="false" customHeight="true" outlineLevel="1" collapsed="false">
      <c r="A57" s="78" t="s">
        <v>345</v>
      </c>
      <c r="B57" s="79" t="n">
        <v>2</v>
      </c>
      <c r="C57" s="47" t="s">
        <v>346</v>
      </c>
      <c r="D57" s="47" t="s">
        <v>347</v>
      </c>
      <c r="E57" s="47" t="s">
        <v>171</v>
      </c>
      <c r="F57" s="79" t="s">
        <v>337</v>
      </c>
      <c r="G57" s="80" t="n">
        <v>2</v>
      </c>
      <c r="H57" s="81" t="n">
        <f aca="false">WORKDAY(MAX($I$55),1,Holidays)</f>
        <v>46433</v>
      </c>
      <c r="I57" s="81" t="n">
        <f aca="false">WORKDAY(H57,G57-1,Holidays)</f>
        <v>46434</v>
      </c>
      <c r="J57" s="82" t="n">
        <f aca="false">IF(StatusDate&lt;H57,0,MIN(1,NETWORKDAYS(H57,StatusDate,Holidays)/G57))</f>
        <v>0</v>
      </c>
      <c r="K57" s="83" t="n">
        <v>0</v>
      </c>
      <c r="L57" s="84" t="n">
        <f aca="false">K57-J57</f>
        <v>0</v>
      </c>
      <c r="M57" s="79" t="str">
        <f aca="false">IF(K57&gt;=1,"Complete",IF(StatusDate&gt;I57,"Overdue",IF(K57&gt;0,IF(K57&lt;J57-0.1,"Behind","In Progress"),IF(StatusDate&gt;H57,"Late Start","Not Started"))))</f>
        <v>Not Started</v>
      </c>
      <c r="N57" s="80" t="n">
        <v>2</v>
      </c>
      <c r="O57" s="85" t="n">
        <f aca="false">G57*N57</f>
        <v>4</v>
      </c>
      <c r="P57" s="86" t="n">
        <f aca="false">O57*BlendedRate</f>
        <v>1.28</v>
      </c>
      <c r="Q57" s="86" t="n">
        <f aca="false">P57*J57</f>
        <v>0</v>
      </c>
      <c r="R57" s="86" t="n">
        <f aca="false">P57*K57</f>
        <v>0</v>
      </c>
      <c r="S57" s="87" t="n">
        <v>0</v>
      </c>
      <c r="T57" s="79" t="str">
        <f aca="false">"S"&amp;(INT((H57-ProjectStart)/SprintLen)+1)</f>
        <v>S9</v>
      </c>
      <c r="U57" s="47"/>
      <c r="V57" s="69" t="str">
        <f aca="false">IF(AND($H57&lt;=V$6+6,$I57&gt;=V$6),1,"")</f>
        <v/>
      </c>
      <c r="W57" s="69" t="str">
        <f aca="false">IF(AND($H57&lt;=W$6+6,$I57&gt;=W$6),1,"")</f>
        <v/>
      </c>
      <c r="X57" s="69" t="str">
        <f aca="false">IF(AND($H57&lt;=X$6+6,$I57&gt;=X$6),1,"")</f>
        <v/>
      </c>
      <c r="Y57" s="69" t="str">
        <f aca="false">IF(AND($H57&lt;=Y$6+6,$I57&gt;=Y$6),1,"")</f>
        <v/>
      </c>
      <c r="Z57" s="69" t="str">
        <f aca="false">IF(AND($H57&lt;=Z$6+6,$I57&gt;=Z$6),1,"")</f>
        <v/>
      </c>
      <c r="AA57" s="69" t="str">
        <f aca="false">IF(AND($H57&lt;=AA$6+6,$I57&gt;=AA$6),1,"")</f>
        <v/>
      </c>
      <c r="AB57" s="69" t="str">
        <f aca="false">IF(AND($H57&lt;=AB$6+6,$I57&gt;=AB$6),1,"")</f>
        <v/>
      </c>
      <c r="AC57" s="69" t="str">
        <f aca="false">IF(AND($H57&lt;=AC$6+6,$I57&gt;=AC$6),1,"")</f>
        <v/>
      </c>
      <c r="AD57" s="69" t="str">
        <f aca="false">IF(AND($H57&lt;=AD$6+6,$I57&gt;=AD$6),1,"")</f>
        <v/>
      </c>
      <c r="AE57" s="69" t="str">
        <f aca="false">IF(AND($H57&lt;=AE$6+6,$I57&gt;=AE$6),1,"")</f>
        <v/>
      </c>
      <c r="AF57" s="69" t="str">
        <f aca="false">IF(AND($H57&lt;=AF$6+6,$I57&gt;=AF$6),1,"")</f>
        <v/>
      </c>
      <c r="AG57" s="69" t="str">
        <f aca="false">IF(AND($H57&lt;=AG$6+6,$I57&gt;=AG$6),1,"")</f>
        <v/>
      </c>
      <c r="AH57" s="69" t="str">
        <f aca="false">IF(AND($H57&lt;=AH$6+6,$I57&gt;=AH$6),1,"")</f>
        <v/>
      </c>
      <c r="AI57" s="69" t="str">
        <f aca="false">IF(AND($H57&lt;=AI$6+6,$I57&gt;=AI$6),1,"")</f>
        <v/>
      </c>
      <c r="AJ57" s="69" t="str">
        <f aca="false">IF(AND($H57&lt;=AJ$6+6,$I57&gt;=AJ$6),1,"")</f>
        <v/>
      </c>
      <c r="AK57" s="69" t="str">
        <f aca="false">IF(AND($H57&lt;=AK$6+6,$I57&gt;=AK$6),1,"")</f>
        <v/>
      </c>
      <c r="AL57" s="69" t="str">
        <f aca="false">IF(AND($H57&lt;=AL$6+6,$I57&gt;=AL$6),1,"")</f>
        <v/>
      </c>
      <c r="AM57" s="69" t="n">
        <f aca="false">IF(AND($H57&lt;=AM$6+6,$I57&gt;=AM$6),1,"")</f>
        <v>1</v>
      </c>
      <c r="AN57" s="69" t="str">
        <f aca="false">IF(AND($H57&lt;=AN$6+6,$I57&gt;=AN$6),1,"")</f>
        <v/>
      </c>
      <c r="AO57" s="69" t="str">
        <f aca="false">IF(AND($H57&lt;=AO$6+6,$I57&gt;=AO$6),1,"")</f>
        <v/>
      </c>
      <c r="AP57" s="69" t="str">
        <f aca="false">IF(AND($H57&lt;=AP$6+6,$I57&gt;=AP$6),1,"")</f>
        <v/>
      </c>
    </row>
    <row r="58" customFormat="false" ht="21.75" hidden="false" customHeight="true" outlineLevel="1" collapsed="false">
      <c r="A58" s="78" t="s">
        <v>348</v>
      </c>
      <c r="B58" s="79" t="n">
        <v>2</v>
      </c>
      <c r="C58" s="47" t="s">
        <v>349</v>
      </c>
      <c r="D58" s="47" t="s">
        <v>350</v>
      </c>
      <c r="E58" s="47" t="s">
        <v>351</v>
      </c>
      <c r="F58" s="79" t="s">
        <v>345</v>
      </c>
      <c r="G58" s="80" t="n">
        <v>4</v>
      </c>
      <c r="H58" s="81" t="n">
        <f aca="false">WORKDAY(MAX($I$57),1,Holidays)</f>
        <v>46435</v>
      </c>
      <c r="I58" s="81" t="n">
        <f aca="false">WORKDAY(H58,G58-1,Holidays)</f>
        <v>46440</v>
      </c>
      <c r="J58" s="82" t="n">
        <f aca="false">IF(StatusDate&lt;H58,0,MIN(1,NETWORKDAYS(H58,StatusDate,Holidays)/G58))</f>
        <v>0</v>
      </c>
      <c r="K58" s="83" t="n">
        <v>0</v>
      </c>
      <c r="L58" s="84" t="n">
        <f aca="false">K58-J58</f>
        <v>0</v>
      </c>
      <c r="M58" s="79" t="str">
        <f aca="false">IF(K58&gt;=1,"Complete",IF(StatusDate&gt;I58,"Overdue",IF(K58&gt;0,IF(K58&lt;J58-0.1,"Behind","In Progress"),IF(StatusDate&gt;H58,"Late Start","Not Started"))))</f>
        <v>Not Started</v>
      </c>
      <c r="N58" s="80" t="n">
        <v>4</v>
      </c>
      <c r="O58" s="85" t="n">
        <f aca="false">G58*N58</f>
        <v>16</v>
      </c>
      <c r="P58" s="86" t="n">
        <f aca="false">O58*BlendedRate</f>
        <v>5.12</v>
      </c>
      <c r="Q58" s="86" t="n">
        <f aca="false">P58*J58</f>
        <v>0</v>
      </c>
      <c r="R58" s="86" t="n">
        <f aca="false">P58*K58</f>
        <v>0</v>
      </c>
      <c r="S58" s="87" t="n">
        <v>0</v>
      </c>
      <c r="T58" s="79" t="str">
        <f aca="false">"S"&amp;(INT((H58-ProjectStart)/SprintLen)+1)</f>
        <v>S9</v>
      </c>
      <c r="U58" s="47"/>
      <c r="V58" s="69" t="str">
        <f aca="false">IF(AND($H58&lt;=V$6+6,$I58&gt;=V$6),1,"")</f>
        <v/>
      </c>
      <c r="W58" s="69" t="str">
        <f aca="false">IF(AND($H58&lt;=W$6+6,$I58&gt;=W$6),1,"")</f>
        <v/>
      </c>
      <c r="X58" s="69" t="str">
        <f aca="false">IF(AND($H58&lt;=X$6+6,$I58&gt;=X$6),1,"")</f>
        <v/>
      </c>
      <c r="Y58" s="69" t="str">
        <f aca="false">IF(AND($H58&lt;=Y$6+6,$I58&gt;=Y$6),1,"")</f>
        <v/>
      </c>
      <c r="Z58" s="69" t="str">
        <f aca="false">IF(AND($H58&lt;=Z$6+6,$I58&gt;=Z$6),1,"")</f>
        <v/>
      </c>
      <c r="AA58" s="69" t="str">
        <f aca="false">IF(AND($H58&lt;=AA$6+6,$I58&gt;=AA$6),1,"")</f>
        <v/>
      </c>
      <c r="AB58" s="69" t="str">
        <f aca="false">IF(AND($H58&lt;=AB$6+6,$I58&gt;=AB$6),1,"")</f>
        <v/>
      </c>
      <c r="AC58" s="69" t="str">
        <f aca="false">IF(AND($H58&lt;=AC$6+6,$I58&gt;=AC$6),1,"")</f>
        <v/>
      </c>
      <c r="AD58" s="69" t="str">
        <f aca="false">IF(AND($H58&lt;=AD$6+6,$I58&gt;=AD$6),1,"")</f>
        <v/>
      </c>
      <c r="AE58" s="69" t="str">
        <f aca="false">IF(AND($H58&lt;=AE$6+6,$I58&gt;=AE$6),1,"")</f>
        <v/>
      </c>
      <c r="AF58" s="69" t="str">
        <f aca="false">IF(AND($H58&lt;=AF$6+6,$I58&gt;=AF$6),1,"")</f>
        <v/>
      </c>
      <c r="AG58" s="69" t="str">
        <f aca="false">IF(AND($H58&lt;=AG$6+6,$I58&gt;=AG$6),1,"")</f>
        <v/>
      </c>
      <c r="AH58" s="69" t="str">
        <f aca="false">IF(AND($H58&lt;=AH$6+6,$I58&gt;=AH$6),1,"")</f>
        <v/>
      </c>
      <c r="AI58" s="69" t="str">
        <f aca="false">IF(AND($H58&lt;=AI$6+6,$I58&gt;=AI$6),1,"")</f>
        <v/>
      </c>
      <c r="AJ58" s="69" t="str">
        <f aca="false">IF(AND($H58&lt;=AJ$6+6,$I58&gt;=AJ$6),1,"")</f>
        <v/>
      </c>
      <c r="AK58" s="69" t="str">
        <f aca="false">IF(AND($H58&lt;=AK$6+6,$I58&gt;=AK$6),1,"")</f>
        <v/>
      </c>
      <c r="AL58" s="69" t="str">
        <f aca="false">IF(AND($H58&lt;=AL$6+6,$I58&gt;=AL$6),1,"")</f>
        <v/>
      </c>
      <c r="AM58" s="69" t="n">
        <f aca="false">IF(AND($H58&lt;=AM$6+6,$I58&gt;=AM$6),1,"")</f>
        <v>1</v>
      </c>
      <c r="AN58" s="69" t="n">
        <f aca="false">IF(AND($H58&lt;=AN$6+6,$I58&gt;=AN$6),1,"")</f>
        <v>1</v>
      </c>
      <c r="AO58" s="69" t="str">
        <f aca="false">IF(AND($H58&lt;=AO$6+6,$I58&gt;=AO$6),1,"")</f>
        <v/>
      </c>
      <c r="AP58" s="69" t="str">
        <f aca="false">IF(AND($H58&lt;=AP$6+6,$I58&gt;=AP$6),1,"")</f>
        <v/>
      </c>
    </row>
    <row r="59" customFormat="false" ht="21.75" hidden="false" customHeight="true" outlineLevel="1" collapsed="false">
      <c r="A59" s="78" t="s">
        <v>352</v>
      </c>
      <c r="B59" s="79" t="n">
        <v>2</v>
      </c>
      <c r="C59" s="47" t="s">
        <v>353</v>
      </c>
      <c r="D59" s="47" t="s">
        <v>354</v>
      </c>
      <c r="E59" s="47" t="s">
        <v>355</v>
      </c>
      <c r="F59" s="79" t="s">
        <v>345</v>
      </c>
      <c r="G59" s="80" t="n">
        <v>3</v>
      </c>
      <c r="H59" s="81" t="n">
        <f aca="false">WORKDAY(MAX($I$57),1,Holidays)</f>
        <v>46435</v>
      </c>
      <c r="I59" s="81" t="n">
        <f aca="false">WORKDAY(H59,G59-1,Holidays)</f>
        <v>46437</v>
      </c>
      <c r="J59" s="82" t="n">
        <f aca="false">IF(StatusDate&lt;H59,0,MIN(1,NETWORKDAYS(H59,StatusDate,Holidays)/G59))</f>
        <v>0</v>
      </c>
      <c r="K59" s="83" t="n">
        <v>0</v>
      </c>
      <c r="L59" s="84" t="n">
        <f aca="false">K59-J59</f>
        <v>0</v>
      </c>
      <c r="M59" s="79" t="str">
        <f aca="false">IF(K59&gt;=1,"Complete",IF(StatusDate&gt;I59,"Overdue",IF(K59&gt;0,IF(K59&lt;J59-0.1,"Behind","In Progress"),IF(StatusDate&gt;H59,"Late Start","Not Started"))))</f>
        <v>Not Started</v>
      </c>
      <c r="N59" s="80" t="n">
        <v>3</v>
      </c>
      <c r="O59" s="85" t="n">
        <f aca="false">G59*N59</f>
        <v>9</v>
      </c>
      <c r="P59" s="86" t="n">
        <f aca="false">O59*BlendedRate</f>
        <v>2.88</v>
      </c>
      <c r="Q59" s="86" t="n">
        <f aca="false">P59*J59</f>
        <v>0</v>
      </c>
      <c r="R59" s="86" t="n">
        <f aca="false">P59*K59</f>
        <v>0</v>
      </c>
      <c r="S59" s="87" t="n">
        <v>0</v>
      </c>
      <c r="T59" s="79" t="str">
        <f aca="false">"S"&amp;(INT((H59-ProjectStart)/SprintLen)+1)</f>
        <v>S9</v>
      </c>
      <c r="U59" s="47"/>
      <c r="V59" s="69" t="str">
        <f aca="false">IF(AND($H59&lt;=V$6+6,$I59&gt;=V$6),1,"")</f>
        <v/>
      </c>
      <c r="W59" s="69" t="str">
        <f aca="false">IF(AND($H59&lt;=W$6+6,$I59&gt;=W$6),1,"")</f>
        <v/>
      </c>
      <c r="X59" s="69" t="str">
        <f aca="false">IF(AND($H59&lt;=X$6+6,$I59&gt;=X$6),1,"")</f>
        <v/>
      </c>
      <c r="Y59" s="69" t="str">
        <f aca="false">IF(AND($H59&lt;=Y$6+6,$I59&gt;=Y$6),1,"")</f>
        <v/>
      </c>
      <c r="Z59" s="69" t="str">
        <f aca="false">IF(AND($H59&lt;=Z$6+6,$I59&gt;=Z$6),1,"")</f>
        <v/>
      </c>
      <c r="AA59" s="69" t="str">
        <f aca="false">IF(AND($H59&lt;=AA$6+6,$I59&gt;=AA$6),1,"")</f>
        <v/>
      </c>
      <c r="AB59" s="69" t="str">
        <f aca="false">IF(AND($H59&lt;=AB$6+6,$I59&gt;=AB$6),1,"")</f>
        <v/>
      </c>
      <c r="AC59" s="69" t="str">
        <f aca="false">IF(AND($H59&lt;=AC$6+6,$I59&gt;=AC$6),1,"")</f>
        <v/>
      </c>
      <c r="AD59" s="69" t="str">
        <f aca="false">IF(AND($H59&lt;=AD$6+6,$I59&gt;=AD$6),1,"")</f>
        <v/>
      </c>
      <c r="AE59" s="69" t="str">
        <f aca="false">IF(AND($H59&lt;=AE$6+6,$I59&gt;=AE$6),1,"")</f>
        <v/>
      </c>
      <c r="AF59" s="69" t="str">
        <f aca="false">IF(AND($H59&lt;=AF$6+6,$I59&gt;=AF$6),1,"")</f>
        <v/>
      </c>
      <c r="AG59" s="69" t="str">
        <f aca="false">IF(AND($H59&lt;=AG$6+6,$I59&gt;=AG$6),1,"")</f>
        <v/>
      </c>
      <c r="AH59" s="69" t="str">
        <f aca="false">IF(AND($H59&lt;=AH$6+6,$I59&gt;=AH$6),1,"")</f>
        <v/>
      </c>
      <c r="AI59" s="69" t="str">
        <f aca="false">IF(AND($H59&lt;=AI$6+6,$I59&gt;=AI$6),1,"")</f>
        <v/>
      </c>
      <c r="AJ59" s="69" t="str">
        <f aca="false">IF(AND($H59&lt;=AJ$6+6,$I59&gt;=AJ$6),1,"")</f>
        <v/>
      </c>
      <c r="AK59" s="69" t="str">
        <f aca="false">IF(AND($H59&lt;=AK$6+6,$I59&gt;=AK$6),1,"")</f>
        <v/>
      </c>
      <c r="AL59" s="69" t="str">
        <f aca="false">IF(AND($H59&lt;=AL$6+6,$I59&gt;=AL$6),1,"")</f>
        <v/>
      </c>
      <c r="AM59" s="69" t="n">
        <f aca="false">IF(AND($H59&lt;=AM$6+6,$I59&gt;=AM$6),1,"")</f>
        <v>1</v>
      </c>
      <c r="AN59" s="69" t="str">
        <f aca="false">IF(AND($H59&lt;=AN$6+6,$I59&gt;=AN$6),1,"")</f>
        <v/>
      </c>
      <c r="AO59" s="69" t="str">
        <f aca="false">IF(AND($H59&lt;=AO$6+6,$I59&gt;=AO$6),1,"")</f>
        <v/>
      </c>
      <c r="AP59" s="69" t="str">
        <f aca="false">IF(AND($H59&lt;=AP$6+6,$I59&gt;=AP$6),1,"")</f>
        <v/>
      </c>
    </row>
    <row r="60" customFormat="false" ht="21.75" hidden="false" customHeight="true" outlineLevel="1" collapsed="false">
      <c r="A60" s="78" t="s">
        <v>356</v>
      </c>
      <c r="B60" s="79" t="n">
        <v>2</v>
      </c>
      <c r="C60" s="47" t="s">
        <v>357</v>
      </c>
      <c r="D60" s="47" t="s">
        <v>358</v>
      </c>
      <c r="E60" s="47" t="s">
        <v>171</v>
      </c>
      <c r="F60" s="79" t="s">
        <v>359</v>
      </c>
      <c r="G60" s="80" t="n">
        <v>2</v>
      </c>
      <c r="H60" s="81" t="n">
        <f aca="false">WORKDAY(MAX($I$58,$I$59),1,Holidays)</f>
        <v>46441</v>
      </c>
      <c r="I60" s="81" t="n">
        <f aca="false">WORKDAY(H60,G60-1,Holidays)</f>
        <v>46442</v>
      </c>
      <c r="J60" s="82" t="n">
        <f aca="false">IF(StatusDate&lt;H60,0,MIN(1,NETWORKDAYS(H60,StatusDate,Holidays)/G60))</f>
        <v>0</v>
      </c>
      <c r="K60" s="83" t="n">
        <v>0</v>
      </c>
      <c r="L60" s="84" t="n">
        <f aca="false">K60-J60</f>
        <v>0</v>
      </c>
      <c r="M60" s="79" t="str">
        <f aca="false">IF(K60&gt;=1,"Complete",IF(StatusDate&gt;I60,"Overdue",IF(K60&gt;0,IF(K60&lt;J60-0.1,"Behind","In Progress"),IF(StatusDate&gt;H60,"Late Start","Not Started"))))</f>
        <v>Not Started</v>
      </c>
      <c r="N60" s="80" t="n">
        <v>2</v>
      </c>
      <c r="O60" s="85" t="n">
        <f aca="false">G60*N60</f>
        <v>4</v>
      </c>
      <c r="P60" s="86" t="n">
        <f aca="false">O60*BlendedRate</f>
        <v>1.28</v>
      </c>
      <c r="Q60" s="86" t="n">
        <f aca="false">P60*J60</f>
        <v>0</v>
      </c>
      <c r="R60" s="86" t="n">
        <f aca="false">P60*K60</f>
        <v>0</v>
      </c>
      <c r="S60" s="87" t="n">
        <v>0</v>
      </c>
      <c r="T60" s="79" t="str">
        <f aca="false">"S"&amp;(INT((H60-ProjectStart)/SprintLen)+1)</f>
        <v>S10</v>
      </c>
      <c r="U60" s="47"/>
      <c r="V60" s="69" t="str">
        <f aca="false">IF(AND($H60&lt;=V$6+6,$I60&gt;=V$6),1,"")</f>
        <v/>
      </c>
      <c r="W60" s="69" t="str">
        <f aca="false">IF(AND($H60&lt;=W$6+6,$I60&gt;=W$6),1,"")</f>
        <v/>
      </c>
      <c r="X60" s="69" t="str">
        <f aca="false">IF(AND($H60&lt;=X$6+6,$I60&gt;=X$6),1,"")</f>
        <v/>
      </c>
      <c r="Y60" s="69" t="str">
        <f aca="false">IF(AND($H60&lt;=Y$6+6,$I60&gt;=Y$6),1,"")</f>
        <v/>
      </c>
      <c r="Z60" s="69" t="str">
        <f aca="false">IF(AND($H60&lt;=Z$6+6,$I60&gt;=Z$6),1,"")</f>
        <v/>
      </c>
      <c r="AA60" s="69" t="str">
        <f aca="false">IF(AND($H60&lt;=AA$6+6,$I60&gt;=AA$6),1,"")</f>
        <v/>
      </c>
      <c r="AB60" s="69" t="str">
        <f aca="false">IF(AND($H60&lt;=AB$6+6,$I60&gt;=AB$6),1,"")</f>
        <v/>
      </c>
      <c r="AC60" s="69" t="str">
        <f aca="false">IF(AND($H60&lt;=AC$6+6,$I60&gt;=AC$6),1,"")</f>
        <v/>
      </c>
      <c r="AD60" s="69" t="str">
        <f aca="false">IF(AND($H60&lt;=AD$6+6,$I60&gt;=AD$6),1,"")</f>
        <v/>
      </c>
      <c r="AE60" s="69" t="str">
        <f aca="false">IF(AND($H60&lt;=AE$6+6,$I60&gt;=AE$6),1,"")</f>
        <v/>
      </c>
      <c r="AF60" s="69" t="str">
        <f aca="false">IF(AND($H60&lt;=AF$6+6,$I60&gt;=AF$6),1,"")</f>
        <v/>
      </c>
      <c r="AG60" s="69" t="str">
        <f aca="false">IF(AND($H60&lt;=AG$6+6,$I60&gt;=AG$6),1,"")</f>
        <v/>
      </c>
      <c r="AH60" s="69" t="str">
        <f aca="false">IF(AND($H60&lt;=AH$6+6,$I60&gt;=AH$6),1,"")</f>
        <v/>
      </c>
      <c r="AI60" s="69" t="str">
        <f aca="false">IF(AND($H60&lt;=AI$6+6,$I60&gt;=AI$6),1,"")</f>
        <v/>
      </c>
      <c r="AJ60" s="69" t="str">
        <f aca="false">IF(AND($H60&lt;=AJ$6+6,$I60&gt;=AJ$6),1,"")</f>
        <v/>
      </c>
      <c r="AK60" s="69" t="str">
        <f aca="false">IF(AND($H60&lt;=AK$6+6,$I60&gt;=AK$6),1,"")</f>
        <v/>
      </c>
      <c r="AL60" s="69" t="str">
        <f aca="false">IF(AND($H60&lt;=AL$6+6,$I60&gt;=AL$6),1,"")</f>
        <v/>
      </c>
      <c r="AM60" s="69" t="str">
        <f aca="false">IF(AND($H60&lt;=AM$6+6,$I60&gt;=AM$6),1,"")</f>
        <v/>
      </c>
      <c r="AN60" s="69" t="n">
        <f aca="false">IF(AND($H60&lt;=AN$6+6,$I60&gt;=AN$6),1,"")</f>
        <v>1</v>
      </c>
      <c r="AO60" s="69" t="str">
        <f aca="false">IF(AND($H60&lt;=AO$6+6,$I60&gt;=AO$6),1,"")</f>
        <v/>
      </c>
      <c r="AP60" s="69" t="str">
        <f aca="false">IF(AND($H60&lt;=AP$6+6,$I60&gt;=AP$6),1,"")</f>
        <v/>
      </c>
    </row>
    <row r="61" customFormat="false" ht="21.75" hidden="false" customHeight="true" outlineLevel="1" collapsed="false">
      <c r="A61" s="78" t="s">
        <v>360</v>
      </c>
      <c r="B61" s="79" t="n">
        <v>2</v>
      </c>
      <c r="C61" s="47" t="s">
        <v>361</v>
      </c>
      <c r="D61" s="47" t="s">
        <v>362</v>
      </c>
      <c r="E61" s="47" t="s">
        <v>335</v>
      </c>
      <c r="F61" s="79" t="s">
        <v>356</v>
      </c>
      <c r="G61" s="80" t="n">
        <v>4</v>
      </c>
      <c r="H61" s="81" t="n">
        <f aca="false">WORKDAY(MAX($I$60),1,Holidays)</f>
        <v>46443</v>
      </c>
      <c r="I61" s="81" t="n">
        <f aca="false">WORKDAY(H61,G61-1,Holidays)</f>
        <v>46448</v>
      </c>
      <c r="J61" s="82" t="n">
        <f aca="false">IF(StatusDate&lt;H61,0,MIN(1,NETWORKDAYS(H61,StatusDate,Holidays)/G61))</f>
        <v>0</v>
      </c>
      <c r="K61" s="83" t="n">
        <v>0</v>
      </c>
      <c r="L61" s="84" t="n">
        <f aca="false">K61-J61</f>
        <v>0</v>
      </c>
      <c r="M61" s="79" t="str">
        <f aca="false">IF(K61&gt;=1,"Complete",IF(StatusDate&gt;I61,"Overdue",IF(K61&gt;0,IF(K61&lt;J61-0.1,"Behind","In Progress"),IF(StatusDate&gt;H61,"Late Start","Not Started"))))</f>
        <v>Not Started</v>
      </c>
      <c r="N61" s="80" t="n">
        <v>4</v>
      </c>
      <c r="O61" s="85" t="n">
        <f aca="false">G61*N61</f>
        <v>16</v>
      </c>
      <c r="P61" s="86" t="n">
        <f aca="false">O61*BlendedRate</f>
        <v>5.12</v>
      </c>
      <c r="Q61" s="86" t="n">
        <f aca="false">P61*J61</f>
        <v>0</v>
      </c>
      <c r="R61" s="86" t="n">
        <f aca="false">P61*K61</f>
        <v>0</v>
      </c>
      <c r="S61" s="87" t="n">
        <v>0</v>
      </c>
      <c r="T61" s="79" t="str">
        <f aca="false">"S"&amp;(INT((H61-ProjectStart)/SprintLen)+1)</f>
        <v>S10</v>
      </c>
      <c r="U61" s="47"/>
      <c r="V61" s="69" t="str">
        <f aca="false">IF(AND($H61&lt;=V$6+6,$I61&gt;=V$6),1,"")</f>
        <v/>
      </c>
      <c r="W61" s="69" t="str">
        <f aca="false">IF(AND($H61&lt;=W$6+6,$I61&gt;=W$6),1,"")</f>
        <v/>
      </c>
      <c r="X61" s="69" t="str">
        <f aca="false">IF(AND($H61&lt;=X$6+6,$I61&gt;=X$6),1,"")</f>
        <v/>
      </c>
      <c r="Y61" s="69" t="str">
        <f aca="false">IF(AND($H61&lt;=Y$6+6,$I61&gt;=Y$6),1,"")</f>
        <v/>
      </c>
      <c r="Z61" s="69" t="str">
        <f aca="false">IF(AND($H61&lt;=Z$6+6,$I61&gt;=Z$6),1,"")</f>
        <v/>
      </c>
      <c r="AA61" s="69" t="str">
        <f aca="false">IF(AND($H61&lt;=AA$6+6,$I61&gt;=AA$6),1,"")</f>
        <v/>
      </c>
      <c r="AB61" s="69" t="str">
        <f aca="false">IF(AND($H61&lt;=AB$6+6,$I61&gt;=AB$6),1,"")</f>
        <v/>
      </c>
      <c r="AC61" s="69" t="str">
        <f aca="false">IF(AND($H61&lt;=AC$6+6,$I61&gt;=AC$6),1,"")</f>
        <v/>
      </c>
      <c r="AD61" s="69" t="str">
        <f aca="false">IF(AND($H61&lt;=AD$6+6,$I61&gt;=AD$6),1,"")</f>
        <v/>
      </c>
      <c r="AE61" s="69" t="str">
        <f aca="false">IF(AND($H61&lt;=AE$6+6,$I61&gt;=AE$6),1,"")</f>
        <v/>
      </c>
      <c r="AF61" s="69" t="str">
        <f aca="false">IF(AND($H61&lt;=AF$6+6,$I61&gt;=AF$6),1,"")</f>
        <v/>
      </c>
      <c r="AG61" s="69" t="str">
        <f aca="false">IF(AND($H61&lt;=AG$6+6,$I61&gt;=AG$6),1,"")</f>
        <v/>
      </c>
      <c r="AH61" s="69" t="str">
        <f aca="false">IF(AND($H61&lt;=AH$6+6,$I61&gt;=AH$6),1,"")</f>
        <v/>
      </c>
      <c r="AI61" s="69" t="str">
        <f aca="false">IF(AND($H61&lt;=AI$6+6,$I61&gt;=AI$6),1,"")</f>
        <v/>
      </c>
      <c r="AJ61" s="69" t="str">
        <f aca="false">IF(AND($H61&lt;=AJ$6+6,$I61&gt;=AJ$6),1,"")</f>
        <v/>
      </c>
      <c r="AK61" s="69" t="str">
        <f aca="false">IF(AND($H61&lt;=AK$6+6,$I61&gt;=AK$6),1,"")</f>
        <v/>
      </c>
      <c r="AL61" s="69" t="str">
        <f aca="false">IF(AND($H61&lt;=AL$6+6,$I61&gt;=AL$6),1,"")</f>
        <v/>
      </c>
      <c r="AM61" s="69" t="str">
        <f aca="false">IF(AND($H61&lt;=AM$6+6,$I61&gt;=AM$6),1,"")</f>
        <v/>
      </c>
      <c r="AN61" s="69" t="n">
        <f aca="false">IF(AND($H61&lt;=AN$6+6,$I61&gt;=AN$6),1,"")</f>
        <v>1</v>
      </c>
      <c r="AO61" s="69" t="n">
        <f aca="false">IF(AND($H61&lt;=AO$6+6,$I61&gt;=AO$6),1,"")</f>
        <v>1</v>
      </c>
      <c r="AP61" s="69" t="str">
        <f aca="false">IF(AND($H61&lt;=AP$6+6,$I61&gt;=AP$6),1,"")</f>
        <v/>
      </c>
    </row>
    <row r="62" customFormat="false" ht="21.75" hidden="false" customHeight="true" outlineLevel="1" collapsed="false">
      <c r="A62" s="78" t="s">
        <v>363</v>
      </c>
      <c r="B62" s="79" t="n">
        <v>2</v>
      </c>
      <c r="C62" s="47" t="s">
        <v>364</v>
      </c>
      <c r="D62" s="47" t="s">
        <v>365</v>
      </c>
      <c r="E62" s="47" t="s">
        <v>216</v>
      </c>
      <c r="F62" s="79" t="s">
        <v>337</v>
      </c>
      <c r="G62" s="80" t="n">
        <v>3</v>
      </c>
      <c r="H62" s="81" t="n">
        <f aca="false">WORKDAY(MAX($I$55),1,Holidays)</f>
        <v>46433</v>
      </c>
      <c r="I62" s="81" t="n">
        <f aca="false">WORKDAY(H62,G62-1,Holidays)</f>
        <v>46435</v>
      </c>
      <c r="J62" s="82" t="n">
        <f aca="false">IF(StatusDate&lt;H62,0,MIN(1,NETWORKDAYS(H62,StatusDate,Holidays)/G62))</f>
        <v>0</v>
      </c>
      <c r="K62" s="83" t="n">
        <v>0</v>
      </c>
      <c r="L62" s="84" t="n">
        <f aca="false">K62-J62</f>
        <v>0</v>
      </c>
      <c r="M62" s="79" t="str">
        <f aca="false">IF(K62&gt;=1,"Complete",IF(StatusDate&gt;I62,"Overdue",IF(K62&gt;0,IF(K62&lt;J62-0.1,"Behind","In Progress"),IF(StatusDate&gt;H62,"Late Start","Not Started"))))</f>
        <v>Not Started</v>
      </c>
      <c r="N62" s="80" t="n">
        <v>2</v>
      </c>
      <c r="O62" s="85" t="n">
        <f aca="false">G62*N62</f>
        <v>6</v>
      </c>
      <c r="P62" s="86" t="n">
        <f aca="false">O62*BlendedRate</f>
        <v>1.92</v>
      </c>
      <c r="Q62" s="86" t="n">
        <f aca="false">P62*J62</f>
        <v>0</v>
      </c>
      <c r="R62" s="86" t="n">
        <f aca="false">P62*K62</f>
        <v>0</v>
      </c>
      <c r="S62" s="87" t="n">
        <v>0</v>
      </c>
      <c r="T62" s="79" t="str">
        <f aca="false">"S"&amp;(INT((H62-ProjectStart)/SprintLen)+1)</f>
        <v>S9</v>
      </c>
      <c r="U62" s="47"/>
      <c r="V62" s="69" t="str">
        <f aca="false">IF(AND($H62&lt;=V$6+6,$I62&gt;=V$6),1,"")</f>
        <v/>
      </c>
      <c r="W62" s="69" t="str">
        <f aca="false">IF(AND($H62&lt;=W$6+6,$I62&gt;=W$6),1,"")</f>
        <v/>
      </c>
      <c r="X62" s="69" t="str">
        <f aca="false">IF(AND($H62&lt;=X$6+6,$I62&gt;=X$6),1,"")</f>
        <v/>
      </c>
      <c r="Y62" s="69" t="str">
        <f aca="false">IF(AND($H62&lt;=Y$6+6,$I62&gt;=Y$6),1,"")</f>
        <v/>
      </c>
      <c r="Z62" s="69" t="str">
        <f aca="false">IF(AND($H62&lt;=Z$6+6,$I62&gt;=Z$6),1,"")</f>
        <v/>
      </c>
      <c r="AA62" s="69" t="str">
        <f aca="false">IF(AND($H62&lt;=AA$6+6,$I62&gt;=AA$6),1,"")</f>
        <v/>
      </c>
      <c r="AB62" s="69" t="str">
        <f aca="false">IF(AND($H62&lt;=AB$6+6,$I62&gt;=AB$6),1,"")</f>
        <v/>
      </c>
      <c r="AC62" s="69" t="str">
        <f aca="false">IF(AND($H62&lt;=AC$6+6,$I62&gt;=AC$6),1,"")</f>
        <v/>
      </c>
      <c r="AD62" s="69" t="str">
        <f aca="false">IF(AND($H62&lt;=AD$6+6,$I62&gt;=AD$6),1,"")</f>
        <v/>
      </c>
      <c r="AE62" s="69" t="str">
        <f aca="false">IF(AND($H62&lt;=AE$6+6,$I62&gt;=AE$6),1,"")</f>
        <v/>
      </c>
      <c r="AF62" s="69" t="str">
        <f aca="false">IF(AND($H62&lt;=AF$6+6,$I62&gt;=AF$6),1,"")</f>
        <v/>
      </c>
      <c r="AG62" s="69" t="str">
        <f aca="false">IF(AND($H62&lt;=AG$6+6,$I62&gt;=AG$6),1,"")</f>
        <v/>
      </c>
      <c r="AH62" s="69" t="str">
        <f aca="false">IF(AND($H62&lt;=AH$6+6,$I62&gt;=AH$6),1,"")</f>
        <v/>
      </c>
      <c r="AI62" s="69" t="str">
        <f aca="false">IF(AND($H62&lt;=AI$6+6,$I62&gt;=AI$6),1,"")</f>
        <v/>
      </c>
      <c r="AJ62" s="69" t="str">
        <f aca="false">IF(AND($H62&lt;=AJ$6+6,$I62&gt;=AJ$6),1,"")</f>
        <v/>
      </c>
      <c r="AK62" s="69" t="str">
        <f aca="false">IF(AND($H62&lt;=AK$6+6,$I62&gt;=AK$6),1,"")</f>
        <v/>
      </c>
      <c r="AL62" s="69" t="str">
        <f aca="false">IF(AND($H62&lt;=AL$6+6,$I62&gt;=AL$6),1,"")</f>
        <v/>
      </c>
      <c r="AM62" s="69" t="n">
        <f aca="false">IF(AND($H62&lt;=AM$6+6,$I62&gt;=AM$6),1,"")</f>
        <v>1</v>
      </c>
      <c r="AN62" s="69" t="str">
        <f aca="false">IF(AND($H62&lt;=AN$6+6,$I62&gt;=AN$6),1,"")</f>
        <v/>
      </c>
      <c r="AO62" s="69" t="str">
        <f aca="false">IF(AND($H62&lt;=AO$6+6,$I62&gt;=AO$6),1,"")</f>
        <v/>
      </c>
      <c r="AP62" s="69" t="str">
        <f aca="false">IF(AND($H62&lt;=AP$6+6,$I62&gt;=AP$6),1,"")</f>
        <v/>
      </c>
    </row>
    <row r="63" customFormat="false" ht="21.75" hidden="false" customHeight="true" outlineLevel="1" collapsed="false">
      <c r="A63" s="78" t="s">
        <v>366</v>
      </c>
      <c r="B63" s="79" t="n">
        <v>2</v>
      </c>
      <c r="C63" s="47" t="s">
        <v>367</v>
      </c>
      <c r="D63" s="47" t="s">
        <v>368</v>
      </c>
      <c r="E63" s="47" t="s">
        <v>216</v>
      </c>
      <c r="F63" s="79" t="s">
        <v>369</v>
      </c>
      <c r="G63" s="80" t="n">
        <v>2</v>
      </c>
      <c r="H63" s="81" t="n">
        <f aca="false">WORKDAY(MAX($I$61,$I$62),1,Holidays)</f>
        <v>46449</v>
      </c>
      <c r="I63" s="81" t="n">
        <f aca="false">WORKDAY(H63,G63-1,Holidays)</f>
        <v>46450</v>
      </c>
      <c r="J63" s="82" t="n">
        <f aca="false">IF(StatusDate&lt;H63,0,MIN(1,NETWORKDAYS(H63,StatusDate,Holidays)/G63))</f>
        <v>0</v>
      </c>
      <c r="K63" s="83" t="n">
        <v>0</v>
      </c>
      <c r="L63" s="84" t="n">
        <f aca="false">K63-J63</f>
        <v>0</v>
      </c>
      <c r="M63" s="79" t="str">
        <f aca="false">IF(K63&gt;=1,"Complete",IF(StatusDate&gt;I63,"Overdue",IF(K63&gt;0,IF(K63&lt;J63-0.1,"Behind","In Progress"),IF(StatusDate&gt;H63,"Late Start","Not Started"))))</f>
        <v>Not Started</v>
      </c>
      <c r="N63" s="80" t="n">
        <v>2</v>
      </c>
      <c r="O63" s="85" t="n">
        <f aca="false">G63*N63</f>
        <v>4</v>
      </c>
      <c r="P63" s="86" t="n">
        <f aca="false">O63*BlendedRate</f>
        <v>1.28</v>
      </c>
      <c r="Q63" s="86" t="n">
        <f aca="false">P63*J63</f>
        <v>0</v>
      </c>
      <c r="R63" s="86" t="n">
        <f aca="false">P63*K63</f>
        <v>0</v>
      </c>
      <c r="S63" s="87" t="n">
        <v>0</v>
      </c>
      <c r="T63" s="79" t="str">
        <f aca="false">"S"&amp;(INT((H63-ProjectStart)/SprintLen)+1)</f>
        <v>S10</v>
      </c>
      <c r="U63" s="47"/>
      <c r="V63" s="69" t="str">
        <f aca="false">IF(AND($H63&lt;=V$6+6,$I63&gt;=V$6),1,"")</f>
        <v/>
      </c>
      <c r="W63" s="69" t="str">
        <f aca="false">IF(AND($H63&lt;=W$6+6,$I63&gt;=W$6),1,"")</f>
        <v/>
      </c>
      <c r="X63" s="69" t="str">
        <f aca="false">IF(AND($H63&lt;=X$6+6,$I63&gt;=X$6),1,"")</f>
        <v/>
      </c>
      <c r="Y63" s="69" t="str">
        <f aca="false">IF(AND($H63&lt;=Y$6+6,$I63&gt;=Y$6),1,"")</f>
        <v/>
      </c>
      <c r="Z63" s="69" t="str">
        <f aca="false">IF(AND($H63&lt;=Z$6+6,$I63&gt;=Z$6),1,"")</f>
        <v/>
      </c>
      <c r="AA63" s="69" t="str">
        <f aca="false">IF(AND($H63&lt;=AA$6+6,$I63&gt;=AA$6),1,"")</f>
        <v/>
      </c>
      <c r="AB63" s="69" t="str">
        <f aca="false">IF(AND($H63&lt;=AB$6+6,$I63&gt;=AB$6),1,"")</f>
        <v/>
      </c>
      <c r="AC63" s="69" t="str">
        <f aca="false">IF(AND($H63&lt;=AC$6+6,$I63&gt;=AC$6),1,"")</f>
        <v/>
      </c>
      <c r="AD63" s="69" t="str">
        <f aca="false">IF(AND($H63&lt;=AD$6+6,$I63&gt;=AD$6),1,"")</f>
        <v/>
      </c>
      <c r="AE63" s="69" t="str">
        <f aca="false">IF(AND($H63&lt;=AE$6+6,$I63&gt;=AE$6),1,"")</f>
        <v/>
      </c>
      <c r="AF63" s="69" t="str">
        <f aca="false">IF(AND($H63&lt;=AF$6+6,$I63&gt;=AF$6),1,"")</f>
        <v/>
      </c>
      <c r="AG63" s="69" t="str">
        <f aca="false">IF(AND($H63&lt;=AG$6+6,$I63&gt;=AG$6),1,"")</f>
        <v/>
      </c>
      <c r="AH63" s="69" t="str">
        <f aca="false">IF(AND($H63&lt;=AH$6+6,$I63&gt;=AH$6),1,"")</f>
        <v/>
      </c>
      <c r="AI63" s="69" t="str">
        <f aca="false">IF(AND($H63&lt;=AI$6+6,$I63&gt;=AI$6),1,"")</f>
        <v/>
      </c>
      <c r="AJ63" s="69" t="str">
        <f aca="false">IF(AND($H63&lt;=AJ$6+6,$I63&gt;=AJ$6),1,"")</f>
        <v/>
      </c>
      <c r="AK63" s="69" t="str">
        <f aca="false">IF(AND($H63&lt;=AK$6+6,$I63&gt;=AK$6),1,"")</f>
        <v/>
      </c>
      <c r="AL63" s="69" t="str">
        <f aca="false">IF(AND($H63&lt;=AL$6+6,$I63&gt;=AL$6),1,"")</f>
        <v/>
      </c>
      <c r="AM63" s="69" t="str">
        <f aca="false">IF(AND($H63&lt;=AM$6+6,$I63&gt;=AM$6),1,"")</f>
        <v/>
      </c>
      <c r="AN63" s="69" t="str">
        <f aca="false">IF(AND($H63&lt;=AN$6+6,$I63&gt;=AN$6),1,"")</f>
        <v/>
      </c>
      <c r="AO63" s="69" t="n">
        <f aca="false">IF(AND($H63&lt;=AO$6+6,$I63&gt;=AO$6),1,"")</f>
        <v>1</v>
      </c>
      <c r="AP63" s="69" t="str">
        <f aca="false">IF(AND($H63&lt;=AP$6+6,$I63&gt;=AP$6),1,"")</f>
        <v/>
      </c>
    </row>
    <row r="64" customFormat="false" ht="21.75" hidden="false" customHeight="true" outlineLevel="1" collapsed="false">
      <c r="A64" s="78" t="s">
        <v>370</v>
      </c>
      <c r="B64" s="79" t="n">
        <v>2</v>
      </c>
      <c r="C64" s="47" t="s">
        <v>371</v>
      </c>
      <c r="D64" s="47" t="s">
        <v>372</v>
      </c>
      <c r="E64" s="47" t="s">
        <v>216</v>
      </c>
      <c r="F64" s="79" t="s">
        <v>366</v>
      </c>
      <c r="G64" s="80" t="n">
        <v>2</v>
      </c>
      <c r="H64" s="81" t="n">
        <f aca="false">WORKDAY(MAX($I$63),1,Holidays)</f>
        <v>46451</v>
      </c>
      <c r="I64" s="81" t="n">
        <f aca="false">WORKDAY(H64,G64-1,Holidays)</f>
        <v>46454</v>
      </c>
      <c r="J64" s="82" t="n">
        <f aca="false">IF(StatusDate&lt;H64,0,MIN(1,NETWORKDAYS(H64,StatusDate,Holidays)/G64))</f>
        <v>0</v>
      </c>
      <c r="K64" s="83" t="n">
        <v>0</v>
      </c>
      <c r="L64" s="84" t="n">
        <f aca="false">K64-J64</f>
        <v>0</v>
      </c>
      <c r="M64" s="79" t="str">
        <f aca="false">IF(K64&gt;=1,"Complete",IF(StatusDate&gt;I64,"Overdue",IF(K64&gt;0,IF(K64&lt;J64-0.1,"Behind","In Progress"),IF(StatusDate&gt;H64,"Late Start","Not Started"))))</f>
        <v>Not Started</v>
      </c>
      <c r="N64" s="80" t="n">
        <v>2</v>
      </c>
      <c r="O64" s="85" t="n">
        <f aca="false">G64*N64</f>
        <v>4</v>
      </c>
      <c r="P64" s="86" t="n">
        <f aca="false">O64*BlendedRate</f>
        <v>1.28</v>
      </c>
      <c r="Q64" s="86" t="n">
        <f aca="false">P64*J64</f>
        <v>0</v>
      </c>
      <c r="R64" s="86" t="n">
        <f aca="false">P64*K64</f>
        <v>0</v>
      </c>
      <c r="S64" s="87" t="n">
        <v>0</v>
      </c>
      <c r="T64" s="79" t="str">
        <f aca="false">"S"&amp;(INT((H64-ProjectStart)/SprintLen)+1)</f>
        <v>S10</v>
      </c>
      <c r="U64" s="47"/>
      <c r="V64" s="69" t="str">
        <f aca="false">IF(AND($H64&lt;=V$6+6,$I64&gt;=V$6),1,"")</f>
        <v/>
      </c>
      <c r="W64" s="69" t="str">
        <f aca="false">IF(AND($H64&lt;=W$6+6,$I64&gt;=W$6),1,"")</f>
        <v/>
      </c>
      <c r="X64" s="69" t="str">
        <f aca="false">IF(AND($H64&lt;=X$6+6,$I64&gt;=X$6),1,"")</f>
        <v/>
      </c>
      <c r="Y64" s="69" t="str">
        <f aca="false">IF(AND($H64&lt;=Y$6+6,$I64&gt;=Y$6),1,"")</f>
        <v/>
      </c>
      <c r="Z64" s="69" t="str">
        <f aca="false">IF(AND($H64&lt;=Z$6+6,$I64&gt;=Z$6),1,"")</f>
        <v/>
      </c>
      <c r="AA64" s="69" t="str">
        <f aca="false">IF(AND($H64&lt;=AA$6+6,$I64&gt;=AA$6),1,"")</f>
        <v/>
      </c>
      <c r="AB64" s="69" t="str">
        <f aca="false">IF(AND($H64&lt;=AB$6+6,$I64&gt;=AB$6),1,"")</f>
        <v/>
      </c>
      <c r="AC64" s="69" t="str">
        <f aca="false">IF(AND($H64&lt;=AC$6+6,$I64&gt;=AC$6),1,"")</f>
        <v/>
      </c>
      <c r="AD64" s="69" t="str">
        <f aca="false">IF(AND($H64&lt;=AD$6+6,$I64&gt;=AD$6),1,"")</f>
        <v/>
      </c>
      <c r="AE64" s="69" t="str">
        <f aca="false">IF(AND($H64&lt;=AE$6+6,$I64&gt;=AE$6),1,"")</f>
        <v/>
      </c>
      <c r="AF64" s="69" t="str">
        <f aca="false">IF(AND($H64&lt;=AF$6+6,$I64&gt;=AF$6),1,"")</f>
        <v/>
      </c>
      <c r="AG64" s="69" t="str">
        <f aca="false">IF(AND($H64&lt;=AG$6+6,$I64&gt;=AG$6),1,"")</f>
        <v/>
      </c>
      <c r="AH64" s="69" t="str">
        <f aca="false">IF(AND($H64&lt;=AH$6+6,$I64&gt;=AH$6),1,"")</f>
        <v/>
      </c>
      <c r="AI64" s="69" t="str">
        <f aca="false">IF(AND($H64&lt;=AI$6+6,$I64&gt;=AI$6),1,"")</f>
        <v/>
      </c>
      <c r="AJ64" s="69" t="str">
        <f aca="false">IF(AND($H64&lt;=AJ$6+6,$I64&gt;=AJ$6),1,"")</f>
        <v/>
      </c>
      <c r="AK64" s="69" t="str">
        <f aca="false">IF(AND($H64&lt;=AK$6+6,$I64&gt;=AK$6),1,"")</f>
        <v/>
      </c>
      <c r="AL64" s="69" t="str">
        <f aca="false">IF(AND($H64&lt;=AL$6+6,$I64&gt;=AL$6),1,"")</f>
        <v/>
      </c>
      <c r="AM64" s="69" t="str">
        <f aca="false">IF(AND($H64&lt;=AM$6+6,$I64&gt;=AM$6),1,"")</f>
        <v/>
      </c>
      <c r="AN64" s="69" t="str">
        <f aca="false">IF(AND($H64&lt;=AN$6+6,$I64&gt;=AN$6),1,"")</f>
        <v/>
      </c>
      <c r="AO64" s="69" t="n">
        <f aca="false">IF(AND($H64&lt;=AO$6+6,$I64&gt;=AO$6),1,"")</f>
        <v>1</v>
      </c>
      <c r="AP64" s="69" t="n">
        <f aca="false">IF(AND($H64&lt;=AP$6+6,$I64&gt;=AP$6),1,"")</f>
        <v>1</v>
      </c>
    </row>
    <row r="65" customFormat="false" ht="21.75" hidden="false" customHeight="true" outlineLevel="1" collapsed="false">
      <c r="A65" s="78" t="s">
        <v>373</v>
      </c>
      <c r="B65" s="79" t="n">
        <v>2</v>
      </c>
      <c r="C65" s="47" t="s">
        <v>374</v>
      </c>
      <c r="D65" s="47" t="s">
        <v>375</v>
      </c>
      <c r="E65" s="47" t="s">
        <v>376</v>
      </c>
      <c r="F65" s="79" t="s">
        <v>370</v>
      </c>
      <c r="G65" s="80" t="n">
        <v>2</v>
      </c>
      <c r="H65" s="81" t="n">
        <f aca="false">WORKDAY(MAX($I$64),1,Holidays)</f>
        <v>46455</v>
      </c>
      <c r="I65" s="81" t="n">
        <f aca="false">WORKDAY(H65,G65-1,Holidays)</f>
        <v>46456</v>
      </c>
      <c r="J65" s="82" t="n">
        <f aca="false">IF(StatusDate&lt;H65,0,MIN(1,NETWORKDAYS(H65,StatusDate,Holidays)/G65))</f>
        <v>0</v>
      </c>
      <c r="K65" s="83" t="n">
        <v>0</v>
      </c>
      <c r="L65" s="84" t="n">
        <f aca="false">K65-J65</f>
        <v>0</v>
      </c>
      <c r="M65" s="79" t="str">
        <f aca="false">IF(K65&gt;=1,"Complete",IF(StatusDate&gt;I65,"Overdue",IF(K65&gt;0,IF(K65&lt;J65-0.1,"Behind","In Progress"),IF(StatusDate&gt;H65,"Late Start","Not Started"))))</f>
        <v>Not Started</v>
      </c>
      <c r="N65" s="80" t="n">
        <v>2</v>
      </c>
      <c r="O65" s="85" t="n">
        <f aca="false">G65*N65</f>
        <v>4</v>
      </c>
      <c r="P65" s="86" t="n">
        <f aca="false">O65*BlendedRate</f>
        <v>1.28</v>
      </c>
      <c r="Q65" s="86" t="n">
        <f aca="false">P65*J65</f>
        <v>0</v>
      </c>
      <c r="R65" s="86" t="n">
        <f aca="false">P65*K65</f>
        <v>0</v>
      </c>
      <c r="S65" s="87" t="n">
        <v>0</v>
      </c>
      <c r="T65" s="79" t="str">
        <f aca="false">"S"&amp;(INT((H65-ProjectStart)/SprintLen)+1)</f>
        <v>S11</v>
      </c>
      <c r="U65" s="47"/>
      <c r="V65" s="69" t="str">
        <f aca="false">IF(AND($H65&lt;=V$6+6,$I65&gt;=V$6),1,"")</f>
        <v/>
      </c>
      <c r="W65" s="69" t="str">
        <f aca="false">IF(AND($H65&lt;=W$6+6,$I65&gt;=W$6),1,"")</f>
        <v/>
      </c>
      <c r="X65" s="69" t="str">
        <f aca="false">IF(AND($H65&lt;=X$6+6,$I65&gt;=X$6),1,"")</f>
        <v/>
      </c>
      <c r="Y65" s="69" t="str">
        <f aca="false">IF(AND($H65&lt;=Y$6+6,$I65&gt;=Y$6),1,"")</f>
        <v/>
      </c>
      <c r="Z65" s="69" t="str">
        <f aca="false">IF(AND($H65&lt;=Z$6+6,$I65&gt;=Z$6),1,"")</f>
        <v/>
      </c>
      <c r="AA65" s="69" t="str">
        <f aca="false">IF(AND($H65&lt;=AA$6+6,$I65&gt;=AA$6),1,"")</f>
        <v/>
      </c>
      <c r="AB65" s="69" t="str">
        <f aca="false">IF(AND($H65&lt;=AB$6+6,$I65&gt;=AB$6),1,"")</f>
        <v/>
      </c>
      <c r="AC65" s="69" t="str">
        <f aca="false">IF(AND($H65&lt;=AC$6+6,$I65&gt;=AC$6),1,"")</f>
        <v/>
      </c>
      <c r="AD65" s="69" t="str">
        <f aca="false">IF(AND($H65&lt;=AD$6+6,$I65&gt;=AD$6),1,"")</f>
        <v/>
      </c>
      <c r="AE65" s="69" t="str">
        <f aca="false">IF(AND($H65&lt;=AE$6+6,$I65&gt;=AE$6),1,"")</f>
        <v/>
      </c>
      <c r="AF65" s="69" t="str">
        <f aca="false">IF(AND($H65&lt;=AF$6+6,$I65&gt;=AF$6),1,"")</f>
        <v/>
      </c>
      <c r="AG65" s="69" t="str">
        <f aca="false">IF(AND($H65&lt;=AG$6+6,$I65&gt;=AG$6),1,"")</f>
        <v/>
      </c>
      <c r="AH65" s="69" t="str">
        <f aca="false">IF(AND($H65&lt;=AH$6+6,$I65&gt;=AH$6),1,"")</f>
        <v/>
      </c>
      <c r="AI65" s="69" t="str">
        <f aca="false">IF(AND($H65&lt;=AI$6+6,$I65&gt;=AI$6),1,"")</f>
        <v/>
      </c>
      <c r="AJ65" s="69" t="str">
        <f aca="false">IF(AND($H65&lt;=AJ$6+6,$I65&gt;=AJ$6),1,"")</f>
        <v/>
      </c>
      <c r="AK65" s="69" t="str">
        <f aca="false">IF(AND($H65&lt;=AK$6+6,$I65&gt;=AK$6),1,"")</f>
        <v/>
      </c>
      <c r="AL65" s="69" t="str">
        <f aca="false">IF(AND($H65&lt;=AL$6+6,$I65&gt;=AL$6),1,"")</f>
        <v/>
      </c>
      <c r="AM65" s="69" t="str">
        <f aca="false">IF(AND($H65&lt;=AM$6+6,$I65&gt;=AM$6),1,"")</f>
        <v/>
      </c>
      <c r="AN65" s="69" t="str">
        <f aca="false">IF(AND($H65&lt;=AN$6+6,$I65&gt;=AN$6),1,"")</f>
        <v/>
      </c>
      <c r="AO65" s="69" t="str">
        <f aca="false">IF(AND($H65&lt;=AO$6+6,$I65&gt;=AO$6),1,"")</f>
        <v/>
      </c>
      <c r="AP65" s="69" t="n">
        <f aca="false">IF(AND($H65&lt;=AP$6+6,$I65&gt;=AP$6),1,"")</f>
        <v>1</v>
      </c>
    </row>
    <row r="66" customFormat="false" ht="21.75" hidden="false" customHeight="true" outlineLevel="1" collapsed="false">
      <c r="A66" s="78" t="s">
        <v>377</v>
      </c>
      <c r="B66" s="79" t="n">
        <v>2</v>
      </c>
      <c r="C66" s="47" t="s">
        <v>378</v>
      </c>
      <c r="D66" s="47" t="s">
        <v>379</v>
      </c>
      <c r="E66" s="47" t="s">
        <v>190</v>
      </c>
      <c r="F66" s="79" t="s">
        <v>370</v>
      </c>
      <c r="G66" s="80" t="n">
        <v>2</v>
      </c>
      <c r="H66" s="81" t="n">
        <f aca="false">WORKDAY(MAX($I$64),1,Holidays)</f>
        <v>46455</v>
      </c>
      <c r="I66" s="81" t="n">
        <f aca="false">WORKDAY(H66,G66-1,Holidays)</f>
        <v>46456</v>
      </c>
      <c r="J66" s="82" t="n">
        <f aca="false">IF(StatusDate&lt;H66,0,MIN(1,NETWORKDAYS(H66,StatusDate,Holidays)/G66))</f>
        <v>0</v>
      </c>
      <c r="K66" s="83" t="n">
        <v>0</v>
      </c>
      <c r="L66" s="84" t="n">
        <f aca="false">K66-J66</f>
        <v>0</v>
      </c>
      <c r="M66" s="79" t="str">
        <f aca="false">IF(K66&gt;=1,"Complete",IF(StatusDate&gt;I66,"Overdue",IF(K66&gt;0,IF(K66&lt;J66-0.1,"Behind","In Progress"),IF(StatusDate&gt;H66,"Late Start","Not Started"))))</f>
        <v>Not Started</v>
      </c>
      <c r="N66" s="80" t="n">
        <v>2</v>
      </c>
      <c r="O66" s="85" t="n">
        <f aca="false">G66*N66</f>
        <v>4</v>
      </c>
      <c r="P66" s="86" t="n">
        <f aca="false">O66*BlendedRate</f>
        <v>1.28</v>
      </c>
      <c r="Q66" s="86" t="n">
        <f aca="false">P66*J66</f>
        <v>0</v>
      </c>
      <c r="R66" s="86" t="n">
        <f aca="false">P66*K66</f>
        <v>0</v>
      </c>
      <c r="S66" s="87" t="n">
        <v>0</v>
      </c>
      <c r="T66" s="79" t="str">
        <f aca="false">"S"&amp;(INT((H66-ProjectStart)/SprintLen)+1)</f>
        <v>S11</v>
      </c>
      <c r="U66" s="47"/>
      <c r="V66" s="69" t="str">
        <f aca="false">IF(AND($H66&lt;=V$6+6,$I66&gt;=V$6),1,"")</f>
        <v/>
      </c>
      <c r="W66" s="69" t="str">
        <f aca="false">IF(AND($H66&lt;=W$6+6,$I66&gt;=W$6),1,"")</f>
        <v/>
      </c>
      <c r="X66" s="69" t="str">
        <f aca="false">IF(AND($H66&lt;=X$6+6,$I66&gt;=X$6),1,"")</f>
        <v/>
      </c>
      <c r="Y66" s="69" t="str">
        <f aca="false">IF(AND($H66&lt;=Y$6+6,$I66&gt;=Y$6),1,"")</f>
        <v/>
      </c>
      <c r="Z66" s="69" t="str">
        <f aca="false">IF(AND($H66&lt;=Z$6+6,$I66&gt;=Z$6),1,"")</f>
        <v/>
      </c>
      <c r="AA66" s="69" t="str">
        <f aca="false">IF(AND($H66&lt;=AA$6+6,$I66&gt;=AA$6),1,"")</f>
        <v/>
      </c>
      <c r="AB66" s="69" t="str">
        <f aca="false">IF(AND($H66&lt;=AB$6+6,$I66&gt;=AB$6),1,"")</f>
        <v/>
      </c>
      <c r="AC66" s="69" t="str">
        <f aca="false">IF(AND($H66&lt;=AC$6+6,$I66&gt;=AC$6),1,"")</f>
        <v/>
      </c>
      <c r="AD66" s="69" t="str">
        <f aca="false">IF(AND($H66&lt;=AD$6+6,$I66&gt;=AD$6),1,"")</f>
        <v/>
      </c>
      <c r="AE66" s="69" t="str">
        <f aca="false">IF(AND($H66&lt;=AE$6+6,$I66&gt;=AE$6),1,"")</f>
        <v/>
      </c>
      <c r="AF66" s="69" t="str">
        <f aca="false">IF(AND($H66&lt;=AF$6+6,$I66&gt;=AF$6),1,"")</f>
        <v/>
      </c>
      <c r="AG66" s="69" t="str">
        <f aca="false">IF(AND($H66&lt;=AG$6+6,$I66&gt;=AG$6),1,"")</f>
        <v/>
      </c>
      <c r="AH66" s="69" t="str">
        <f aca="false">IF(AND($H66&lt;=AH$6+6,$I66&gt;=AH$6),1,"")</f>
        <v/>
      </c>
      <c r="AI66" s="69" t="str">
        <f aca="false">IF(AND($H66&lt;=AI$6+6,$I66&gt;=AI$6),1,"")</f>
        <v/>
      </c>
      <c r="AJ66" s="69" t="str">
        <f aca="false">IF(AND($H66&lt;=AJ$6+6,$I66&gt;=AJ$6),1,"")</f>
        <v/>
      </c>
      <c r="AK66" s="69" t="str">
        <f aca="false">IF(AND($H66&lt;=AK$6+6,$I66&gt;=AK$6),1,"")</f>
        <v/>
      </c>
      <c r="AL66" s="69" t="str">
        <f aca="false">IF(AND($H66&lt;=AL$6+6,$I66&gt;=AL$6),1,"")</f>
        <v/>
      </c>
      <c r="AM66" s="69" t="str">
        <f aca="false">IF(AND($H66&lt;=AM$6+6,$I66&gt;=AM$6),1,"")</f>
        <v/>
      </c>
      <c r="AN66" s="69" t="str">
        <f aca="false">IF(AND($H66&lt;=AN$6+6,$I66&gt;=AN$6),1,"")</f>
        <v/>
      </c>
      <c r="AO66" s="69" t="str">
        <f aca="false">IF(AND($H66&lt;=AO$6+6,$I66&gt;=AO$6),1,"")</f>
        <v/>
      </c>
      <c r="AP66" s="69" t="n">
        <f aca="false">IF(AND($H66&lt;=AP$6+6,$I66&gt;=AP$6),1,"")</f>
        <v>1</v>
      </c>
    </row>
    <row r="67" customFormat="false" ht="21.75" hidden="false" customHeight="true" outlineLevel="1" collapsed="false">
      <c r="A67" s="78" t="s">
        <v>380</v>
      </c>
      <c r="B67" s="79" t="n">
        <v>2</v>
      </c>
      <c r="C67" s="47" t="s">
        <v>381</v>
      </c>
      <c r="D67" s="47" t="s">
        <v>382</v>
      </c>
      <c r="E67" s="47" t="s">
        <v>163</v>
      </c>
      <c r="F67" s="79" t="s">
        <v>383</v>
      </c>
      <c r="G67" s="80" t="n">
        <v>2</v>
      </c>
      <c r="H67" s="81" t="n">
        <f aca="false">WORKDAY(MAX($I$65,$I$66),1,Holidays)</f>
        <v>46457</v>
      </c>
      <c r="I67" s="81" t="n">
        <f aca="false">WORKDAY(H67,G67-1,Holidays)</f>
        <v>46458</v>
      </c>
      <c r="J67" s="82" t="n">
        <f aca="false">IF(StatusDate&lt;H67,0,MIN(1,NETWORKDAYS(H67,StatusDate,Holidays)/G67))</f>
        <v>0</v>
      </c>
      <c r="K67" s="83" t="n">
        <v>0</v>
      </c>
      <c r="L67" s="84" t="n">
        <f aca="false">K67-J67</f>
        <v>0</v>
      </c>
      <c r="M67" s="79" t="str">
        <f aca="false">IF(K67&gt;=1,"Complete",IF(StatusDate&gt;I67,"Overdue",IF(K67&gt;0,IF(K67&lt;J67-0.1,"Behind","In Progress"),IF(StatusDate&gt;H67,"Late Start","Not Started"))))</f>
        <v>Not Started</v>
      </c>
      <c r="N67" s="80" t="n">
        <v>2</v>
      </c>
      <c r="O67" s="85" t="n">
        <f aca="false">G67*N67</f>
        <v>4</v>
      </c>
      <c r="P67" s="86" t="n">
        <f aca="false">O67*BlendedRate</f>
        <v>1.28</v>
      </c>
      <c r="Q67" s="86" t="n">
        <f aca="false">P67*J67</f>
        <v>0</v>
      </c>
      <c r="R67" s="86" t="n">
        <f aca="false">P67*K67</f>
        <v>0</v>
      </c>
      <c r="S67" s="87" t="n">
        <v>0</v>
      </c>
      <c r="T67" s="79" t="str">
        <f aca="false">"S"&amp;(INT((H67-ProjectStart)/SprintLen)+1)</f>
        <v>S11</v>
      </c>
      <c r="U67" s="47"/>
      <c r="V67" s="69" t="str">
        <f aca="false">IF(AND($H67&lt;=V$6+6,$I67&gt;=V$6),1,"")</f>
        <v/>
      </c>
      <c r="W67" s="69" t="str">
        <f aca="false">IF(AND($H67&lt;=W$6+6,$I67&gt;=W$6),1,"")</f>
        <v/>
      </c>
      <c r="X67" s="69" t="str">
        <f aca="false">IF(AND($H67&lt;=X$6+6,$I67&gt;=X$6),1,"")</f>
        <v/>
      </c>
      <c r="Y67" s="69" t="str">
        <f aca="false">IF(AND($H67&lt;=Y$6+6,$I67&gt;=Y$6),1,"")</f>
        <v/>
      </c>
      <c r="Z67" s="69" t="str">
        <f aca="false">IF(AND($H67&lt;=Z$6+6,$I67&gt;=Z$6),1,"")</f>
        <v/>
      </c>
      <c r="AA67" s="69" t="str">
        <f aca="false">IF(AND($H67&lt;=AA$6+6,$I67&gt;=AA$6),1,"")</f>
        <v/>
      </c>
      <c r="AB67" s="69" t="str">
        <f aca="false">IF(AND($H67&lt;=AB$6+6,$I67&gt;=AB$6),1,"")</f>
        <v/>
      </c>
      <c r="AC67" s="69" t="str">
        <f aca="false">IF(AND($H67&lt;=AC$6+6,$I67&gt;=AC$6),1,"")</f>
        <v/>
      </c>
      <c r="AD67" s="69" t="str">
        <f aca="false">IF(AND($H67&lt;=AD$6+6,$I67&gt;=AD$6),1,"")</f>
        <v/>
      </c>
      <c r="AE67" s="69" t="str">
        <f aca="false">IF(AND($H67&lt;=AE$6+6,$I67&gt;=AE$6),1,"")</f>
        <v/>
      </c>
      <c r="AF67" s="69" t="str">
        <f aca="false">IF(AND($H67&lt;=AF$6+6,$I67&gt;=AF$6),1,"")</f>
        <v/>
      </c>
      <c r="AG67" s="69" t="str">
        <f aca="false">IF(AND($H67&lt;=AG$6+6,$I67&gt;=AG$6),1,"")</f>
        <v/>
      </c>
      <c r="AH67" s="69" t="str">
        <f aca="false">IF(AND($H67&lt;=AH$6+6,$I67&gt;=AH$6),1,"")</f>
        <v/>
      </c>
      <c r="AI67" s="69" t="str">
        <f aca="false">IF(AND($H67&lt;=AI$6+6,$I67&gt;=AI$6),1,"")</f>
        <v/>
      </c>
      <c r="AJ67" s="69" t="str">
        <f aca="false">IF(AND($H67&lt;=AJ$6+6,$I67&gt;=AJ$6),1,"")</f>
        <v/>
      </c>
      <c r="AK67" s="69" t="str">
        <f aca="false">IF(AND($H67&lt;=AK$6+6,$I67&gt;=AK$6),1,"")</f>
        <v/>
      </c>
      <c r="AL67" s="69" t="str">
        <f aca="false">IF(AND($H67&lt;=AL$6+6,$I67&gt;=AL$6),1,"")</f>
        <v/>
      </c>
      <c r="AM67" s="69" t="str">
        <f aca="false">IF(AND($H67&lt;=AM$6+6,$I67&gt;=AM$6),1,"")</f>
        <v/>
      </c>
      <c r="AN67" s="69" t="str">
        <f aca="false">IF(AND($H67&lt;=AN$6+6,$I67&gt;=AN$6),1,"")</f>
        <v/>
      </c>
      <c r="AO67" s="69" t="str">
        <f aca="false">IF(AND($H67&lt;=AO$6+6,$I67&gt;=AO$6),1,"")</f>
        <v/>
      </c>
      <c r="AP67" s="69" t="n">
        <f aca="false">IF(AND($H67&lt;=AP$6+6,$I67&gt;=AP$6),1,"")</f>
        <v>1</v>
      </c>
    </row>
    <row r="68" customFormat="false" ht="21.75" hidden="false" customHeight="true" outlineLevel="1" collapsed="false">
      <c r="A68" s="88" t="s">
        <v>384</v>
      </c>
      <c r="B68" s="89" t="n">
        <v>2</v>
      </c>
      <c r="C68" s="90" t="s">
        <v>385</v>
      </c>
      <c r="D68" s="91" t="s">
        <v>386</v>
      </c>
      <c r="E68" s="91" t="s">
        <v>206</v>
      </c>
      <c r="F68" s="89" t="s">
        <v>387</v>
      </c>
      <c r="G68" s="89" t="n">
        <v>0</v>
      </c>
      <c r="H68" s="92" t="n">
        <f aca="false">I68</f>
        <v>46458</v>
      </c>
      <c r="I68" s="92" t="n">
        <f aca="false">WORKDAY(ProjectStart-1,100,Holidays)</f>
        <v>46458</v>
      </c>
      <c r="J68" s="93" t="n">
        <f aca="false">IF(StatusDate&gt;=I68,1,0)</f>
        <v>0</v>
      </c>
      <c r="K68" s="94" t="n">
        <v>0</v>
      </c>
      <c r="L68" s="95" t="n">
        <f aca="false">K68-J68</f>
        <v>0</v>
      </c>
      <c r="M68" s="89" t="str">
        <f aca="false">IF(K68&gt;=1,"Complete",IF(StatusDate&gt;I68,"Overdue",IF(K68&gt;0,IF(K68&lt;J68-0.1,"Behind","In Progress"),IF(StatusDate&gt;H68,"Late Start","Not Started"))))</f>
        <v>Not Started</v>
      </c>
      <c r="N68" s="89"/>
      <c r="O68" s="96"/>
      <c r="P68" s="97"/>
      <c r="Q68" s="97"/>
      <c r="R68" s="97"/>
      <c r="S68" s="97"/>
      <c r="T68" s="89" t="str">
        <f aca="false">"S"&amp;(INT((H68-ProjectStart)/SprintLen)+1)</f>
        <v>S11</v>
      </c>
      <c r="U68" s="91" t="s">
        <v>208</v>
      </c>
      <c r="V68" s="98" t="str">
        <f aca="false">IF(AND($I68&gt;=V$6,$I68&lt;=V$6+6),"◆","")</f>
        <v/>
      </c>
      <c r="W68" s="98" t="str">
        <f aca="false">IF(AND($I68&gt;=W$6,$I68&lt;=W$6+6),"◆","")</f>
        <v/>
      </c>
      <c r="X68" s="98" t="str">
        <f aca="false">IF(AND($I68&gt;=X$6,$I68&lt;=X$6+6),"◆","")</f>
        <v/>
      </c>
      <c r="Y68" s="98" t="str">
        <f aca="false">IF(AND($I68&gt;=Y$6,$I68&lt;=Y$6+6),"◆","")</f>
        <v/>
      </c>
      <c r="Z68" s="98" t="str">
        <f aca="false">IF(AND($I68&gt;=Z$6,$I68&lt;=Z$6+6),"◆","")</f>
        <v/>
      </c>
      <c r="AA68" s="98" t="str">
        <f aca="false">IF(AND($I68&gt;=AA$6,$I68&lt;=AA$6+6),"◆","")</f>
        <v/>
      </c>
      <c r="AB68" s="98" t="str">
        <f aca="false">IF(AND($I68&gt;=AB$6,$I68&lt;=AB$6+6),"◆","")</f>
        <v/>
      </c>
      <c r="AC68" s="98" t="str">
        <f aca="false">IF(AND($I68&gt;=AC$6,$I68&lt;=AC$6+6),"◆","")</f>
        <v/>
      </c>
      <c r="AD68" s="98" t="str">
        <f aca="false">IF(AND($I68&gt;=AD$6,$I68&lt;=AD$6+6),"◆","")</f>
        <v/>
      </c>
      <c r="AE68" s="98" t="str">
        <f aca="false">IF(AND($I68&gt;=AE$6,$I68&lt;=AE$6+6),"◆","")</f>
        <v/>
      </c>
      <c r="AF68" s="98" t="str">
        <f aca="false">IF(AND($I68&gt;=AF$6,$I68&lt;=AF$6+6),"◆","")</f>
        <v/>
      </c>
      <c r="AG68" s="98" t="str">
        <f aca="false">IF(AND($I68&gt;=AG$6,$I68&lt;=AG$6+6),"◆","")</f>
        <v/>
      </c>
      <c r="AH68" s="98" t="str">
        <f aca="false">IF(AND($I68&gt;=AH$6,$I68&lt;=AH$6+6),"◆","")</f>
        <v/>
      </c>
      <c r="AI68" s="98" t="str">
        <f aca="false">IF(AND($I68&gt;=AI$6,$I68&lt;=AI$6+6),"◆","")</f>
        <v/>
      </c>
      <c r="AJ68" s="98" t="str">
        <f aca="false">IF(AND($I68&gt;=AJ$6,$I68&lt;=AJ$6+6),"◆","")</f>
        <v/>
      </c>
      <c r="AK68" s="98" t="str">
        <f aca="false">IF(AND($I68&gt;=AK$6,$I68&lt;=AK$6+6),"◆","")</f>
        <v/>
      </c>
      <c r="AL68" s="98" t="str">
        <f aca="false">IF(AND($I68&gt;=AL$6,$I68&lt;=AL$6+6),"◆","")</f>
        <v/>
      </c>
      <c r="AM68" s="98" t="str">
        <f aca="false">IF(AND($I68&gt;=AM$6,$I68&lt;=AM$6+6),"◆","")</f>
        <v/>
      </c>
      <c r="AN68" s="98" t="str">
        <f aca="false">IF(AND($I68&gt;=AN$6,$I68&lt;=AN$6+6),"◆","")</f>
        <v/>
      </c>
      <c r="AO68" s="98" t="str">
        <f aca="false">IF(AND($I68&gt;=AO$6,$I68&lt;=AO$6+6),"◆","")</f>
        <v/>
      </c>
      <c r="AP68" s="98" t="str">
        <f aca="false">IF(AND($I68&gt;=AP$6,$I68&lt;=AP$6+6),"◆","")</f>
        <v>◆</v>
      </c>
    </row>
  </sheetData>
  <autoFilter ref="A6:U68"/>
  <mergeCells count="6">
    <mergeCell ref="A4:U5"/>
    <mergeCell ref="V4:Y4"/>
    <mergeCell ref="Z4:AC4"/>
    <mergeCell ref="AD4:AG4"/>
    <mergeCell ref="AH4:AK4"/>
    <mergeCell ref="AL4:AO4"/>
  </mergeCells>
  <conditionalFormatting sqref="V7:AP68">
    <cfRule type="expression" priority="2" aboveAverage="0" equalAverage="0" bottom="0" percent="0" rank="0" text="" dxfId="25">
      <formula>AND($B7=0,V7=1)</formula>
    </cfRule>
    <cfRule type="expression" priority="3" aboveAverage="0" equalAverage="0" bottom="0" percent="0" rank="0" text="" dxfId="26">
      <formula>AND($B7=1,V7=1)</formula>
    </cfRule>
    <cfRule type="expression" priority="4" aboveAverage="0" equalAverage="0" bottom="0" percent="0" rank="0" text="" dxfId="27">
      <formula>AND($B7=2,V7=1,$K7&gt;=1)</formula>
    </cfRule>
    <cfRule type="expression" priority="5" aboveAverage="0" equalAverage="0" bottom="0" percent="0" rank="0" text="" dxfId="28">
      <formula>AND($B7=2,V7=1)</formula>
    </cfRule>
    <cfRule type="expression" priority="6" aboveAverage="0" equalAverage="0" bottom="0" percent="0" rank="0" text="" dxfId="29">
      <formula>AND(StatusDate&gt;=V$6,StatusDate&lt;V$6+7)</formula>
    </cfRule>
  </conditionalFormatting>
  <conditionalFormatting sqref="M7:M68">
    <cfRule type="expression" priority="7" aboveAverage="0" equalAverage="0" bottom="0" percent="0" rank="0" text="" dxfId="8">
      <formula>M7="Complete"</formula>
    </cfRule>
    <cfRule type="expression" priority="8" aboveAverage="0" equalAverage="0" bottom="0" percent="0" rank="0" text="" dxfId="9">
      <formula>M7="Overdue"</formula>
    </cfRule>
    <cfRule type="expression" priority="9" aboveAverage="0" equalAverage="0" bottom="0" percent="0" rank="0" text="" dxfId="9">
      <formula>M7="Behind"</formula>
    </cfRule>
    <cfRule type="expression" priority="10" aboveAverage="0" equalAverage="0" bottom="0" percent="0" rank="0" text="" dxfId="11">
      <formula>M7="Late Start"</formula>
    </cfRule>
    <cfRule type="expression" priority="11" aboveAverage="0" equalAverage="0" bottom="0" percent="0" rank="0" text="" dxfId="10">
      <formula>M7="In Progress"</formula>
    </cfRule>
  </conditionalFormatting>
  <conditionalFormatting sqref="L7:L68">
    <cfRule type="cellIs" priority="12" operator="lessThan" aboveAverage="0" equalAverage="0" bottom="0" percent="0" rank="0" text="" dxfId="12">
      <formula>-0.1</formula>
    </cfRule>
  </conditionalFormatting>
  <conditionalFormatting sqref="K8:K68">
    <cfRule type="dataBar" priority="13">
      <dataBar showValue="1" minLength="10" maxLength="90">
        <cfvo type="num" val="0"/>
        <cfvo type="num" val="1"/>
        <color rgb="FFF4B6B6"/>
      </dataBar>
      <extLst>
        <ext xmlns:x14="http://schemas.microsoft.com/office/spreadsheetml/2009/9/main" uri="{B025F937-C7B1-47D3-B67F-A62EFF666E3E}">
          <x14:id>{A1DD5325-86A6-4FA8-A520-55C3A6633ADF}</x14:id>
        </ext>
      </extLst>
    </cfRule>
  </conditionalFormatting>
  <dataValidations count="1">
    <dataValidation allowBlank="false" error="Enter 0%–100%" errorStyle="stop" operator="between" showDropDown="false" showErrorMessage="true" showInputMessage="false" sqref="K9:K19 K21:K31 K33:K43 K45:K55 K57:K68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DD5325-86A6-4FA8-A520-55C3A6633ADF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F4B6B6"/>
              <x14:axisColor rgb="FF000000"/>
            </x14:dataBar>
          </x14:cfRule>
          <xm:sqref>K8:K68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4D4E"/>
    <pageSetUpPr fitToPage="false"/>
  </sheetPr>
  <dimension ref="A1:J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6" min="4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34"/>
    <col collapsed="false" customWidth="true" hidden="false" outlineLevel="0" max="10" min="10" style="0" width="60"/>
  </cols>
  <sheetData>
    <row r="1" customFormat="false" ht="25.5" hidden="false" customHeight="true" outlineLevel="0" collapsed="false">
      <c r="A1" s="43" t="s">
        <v>388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4" t="s">
        <v>389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3.85" hidden="false" customHeight="false" outlineLevel="0" collapsed="false">
      <c r="A4" s="44" t="s">
        <v>43</v>
      </c>
      <c r="B4" s="44" t="s">
        <v>44</v>
      </c>
      <c r="C4" s="44" t="s">
        <v>390</v>
      </c>
      <c r="D4" s="44" t="s">
        <v>391</v>
      </c>
      <c r="E4" s="44" t="s">
        <v>392</v>
      </c>
      <c r="F4" s="44" t="s">
        <v>393</v>
      </c>
      <c r="G4" s="44" t="s">
        <v>394</v>
      </c>
      <c r="H4" s="44" t="s">
        <v>47</v>
      </c>
      <c r="I4" s="44" t="s">
        <v>395</v>
      </c>
      <c r="J4" s="44" t="s">
        <v>396</v>
      </c>
    </row>
    <row r="5" customFormat="false" ht="48" hidden="false" customHeight="true" outlineLevel="0" collapsed="false">
      <c r="A5" s="79" t="s">
        <v>203</v>
      </c>
      <c r="B5" s="47" t="s">
        <v>397</v>
      </c>
      <c r="C5" s="79" t="s">
        <v>398</v>
      </c>
      <c r="D5" s="99" t="n">
        <f aca="false">'WBS Schedule'!I19</f>
        <v>46342</v>
      </c>
      <c r="E5" s="100" t="n">
        <f aca="false">'WBS Schedule'!I19</f>
        <v>46342</v>
      </c>
      <c r="F5" s="100" t="n">
        <v>46342</v>
      </c>
      <c r="G5" s="101" t="n">
        <f aca="false">IF(F5&lt;&gt;"",IF(F5&gt;D5,NETWORKDAYS(D5,F5,Holidays)-1,-(NETWORKDAYS(F5,D5,Holidays)-1)),IF(E5&gt;D5,NETWORKDAYS(D5,E5,Holidays)-1,-(NETWORKDAYS(E5,D5,Holidays)-1)))</f>
        <v>-0</v>
      </c>
      <c r="H5" s="79" t="str">
        <f aca="false">IF(F5&lt;&gt;"","Achieved",IF(G5&gt;0,"At Risk",IF(StatusDate&gt;D5,"Overdue","On Track")))</f>
        <v>Achieved</v>
      </c>
      <c r="I5" s="47" t="s">
        <v>205</v>
      </c>
      <c r="J5" s="47" t="s">
        <v>399</v>
      </c>
    </row>
    <row r="6" customFormat="false" ht="48" hidden="false" customHeight="true" outlineLevel="0" collapsed="false">
      <c r="A6" s="79" t="s">
        <v>250</v>
      </c>
      <c r="B6" s="47" t="s">
        <v>400</v>
      </c>
      <c r="C6" s="79" t="s">
        <v>401</v>
      </c>
      <c r="D6" s="99" t="n">
        <f aca="false">'WBS Schedule'!I31</f>
        <v>46371</v>
      </c>
      <c r="E6" s="100" t="n">
        <f aca="false">'WBS Schedule'!I31</f>
        <v>46371</v>
      </c>
      <c r="F6" s="100" t="n">
        <v>46370</v>
      </c>
      <c r="G6" s="101" t="n">
        <f aca="false">IF(F6&lt;&gt;"",IF(F6&gt;D6,NETWORKDAYS(D6,F6,Holidays)-1,-(NETWORKDAYS(F6,D6,Holidays)-1)),IF(E6&gt;D6,NETWORKDAYS(D6,E6,Holidays)-1,-(NETWORKDAYS(E6,D6,Holidays)-1)))</f>
        <v>-1</v>
      </c>
      <c r="H6" s="79" t="str">
        <f aca="false">IF(F6&lt;&gt;"","Achieved",IF(G6&gt;0,"At Risk",IF(StatusDate&gt;D6,"Overdue","On Track")))</f>
        <v>Achieved</v>
      </c>
      <c r="I6" s="47" t="s">
        <v>252</v>
      </c>
      <c r="J6" s="47" t="s">
        <v>402</v>
      </c>
    </row>
    <row r="7" customFormat="false" ht="48" hidden="false" customHeight="true" outlineLevel="0" collapsed="false">
      <c r="A7" s="79" t="s">
        <v>294</v>
      </c>
      <c r="B7" s="47" t="s">
        <v>403</v>
      </c>
      <c r="C7" s="79" t="s">
        <v>404</v>
      </c>
      <c r="D7" s="99" t="n">
        <f aca="false">'WBS Schedule'!I43</f>
        <v>46401</v>
      </c>
      <c r="E7" s="100" t="n">
        <v>46409</v>
      </c>
      <c r="F7" s="100"/>
      <c r="G7" s="101" t="n">
        <f aca="false">IF(F7&lt;&gt;"",IF(F7&gt;D7,NETWORKDAYS(D7,F7,Holidays)-1,-(NETWORKDAYS(F7,D7,Holidays)-1)),IF(E7&gt;D7,NETWORKDAYS(D7,E7,Holidays)-1,-(NETWORKDAYS(E7,D7,Holidays)-1)))</f>
        <v>6</v>
      </c>
      <c r="H7" s="79" t="str">
        <f aca="false">IF(F7&lt;&gt;"","Achieved",IF(G7&gt;0,"At Risk",IF(StatusDate&gt;D7,"Overdue","On Track")))</f>
        <v>At Risk</v>
      </c>
      <c r="I7" s="47" t="s">
        <v>296</v>
      </c>
      <c r="J7" s="47" t="s">
        <v>405</v>
      </c>
    </row>
    <row r="8" customFormat="false" ht="48" hidden="false" customHeight="true" outlineLevel="0" collapsed="false">
      <c r="A8" s="79" t="s">
        <v>337</v>
      </c>
      <c r="B8" s="47" t="s">
        <v>334</v>
      </c>
      <c r="C8" s="79" t="s">
        <v>406</v>
      </c>
      <c r="D8" s="99" t="n">
        <f aca="false">'WBS Schedule'!I55</f>
        <v>46430</v>
      </c>
      <c r="E8" s="100" t="n">
        <v>46434</v>
      </c>
      <c r="F8" s="100"/>
      <c r="G8" s="101" t="n">
        <f aca="false">IF(F8&lt;&gt;"",IF(F8&gt;D8,NETWORKDAYS(D8,F8,Holidays)-1,-(NETWORKDAYS(F8,D8,Holidays)-1)),IF(E8&gt;D8,NETWORKDAYS(D8,E8,Holidays)-1,-(NETWORKDAYS(E8,D8,Holidays)-1)))</f>
        <v>2</v>
      </c>
      <c r="H8" s="79" t="str">
        <f aca="false">IF(F8&lt;&gt;"","Achieved",IF(G8&gt;0,"At Risk",IF(StatusDate&gt;D8,"Overdue","On Track")))</f>
        <v>At Risk</v>
      </c>
      <c r="I8" s="47" t="s">
        <v>339</v>
      </c>
      <c r="J8" s="47" t="s">
        <v>407</v>
      </c>
    </row>
    <row r="9" customFormat="false" ht="48" hidden="false" customHeight="true" outlineLevel="0" collapsed="false">
      <c r="A9" s="79" t="s">
        <v>384</v>
      </c>
      <c r="B9" s="47" t="s">
        <v>408</v>
      </c>
      <c r="C9" s="79" t="s">
        <v>409</v>
      </c>
      <c r="D9" s="99" t="n">
        <f aca="false">'WBS Schedule'!I68</f>
        <v>46458</v>
      </c>
      <c r="E9" s="100" t="n">
        <v>46458</v>
      </c>
      <c r="F9" s="100"/>
      <c r="G9" s="101" t="n">
        <f aca="false">IF(F9&lt;&gt;"",IF(F9&gt;D9,NETWORKDAYS(D9,F9,Holidays)-1,-(NETWORKDAYS(F9,D9,Holidays)-1)),IF(E9&gt;D9,NETWORKDAYS(D9,E9,Holidays)-1,-(NETWORKDAYS(E9,D9,Holidays)-1)))</f>
        <v>-0</v>
      </c>
      <c r="H9" s="79" t="str">
        <f aca="false">IF(F9&lt;&gt;"","Achieved",IF(G9&gt;0,"At Risk",IF(StatusDate&gt;D9,"Overdue","On Track")))</f>
        <v>On Track</v>
      </c>
      <c r="I9" s="47" t="s">
        <v>386</v>
      </c>
      <c r="J9" s="47" t="s">
        <v>410</v>
      </c>
    </row>
  </sheetData>
  <conditionalFormatting sqref="H5:H9">
    <cfRule type="cellIs" priority="2" operator="equal" aboveAverage="0" equalAverage="0" bottom="0" percent="0" rank="0" text="" dxfId="8">
      <formula>"Achieved"</formula>
    </cfRule>
    <cfRule type="cellIs" priority="3" operator="equal" aboveAverage="0" equalAverage="0" bottom="0" percent="0" rank="0" text="" dxfId="9">
      <formula>"At Risk"</formula>
    </cfRule>
    <cfRule type="cellIs" priority="4" operator="equal" aboveAverage="0" equalAverage="0" bottom="0" percent="0" rank="0" text="" dxfId="9">
      <formula>"Overdue"</formula>
    </cfRule>
    <cfRule type="cellIs" priority="5" operator="equal" aboveAverage="0" equalAverage="0" bottom="0" percent="0" rank="0" text="" dxfId="10">
      <formula>"On Track"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4D4E"/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6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6" min="5" style="0" width="10"/>
    <col collapsed="false" customWidth="true" hidden="false" outlineLevel="0" max="7" min="7" style="0" width="13"/>
    <col collapsed="false" customWidth="true" hidden="false" outlineLevel="0" max="8" min="8" style="0" width="52"/>
  </cols>
  <sheetData>
    <row r="1" customFormat="false" ht="25.5" hidden="false" customHeight="true" outlineLevel="0" collapsed="false">
      <c r="A1" s="43" t="s">
        <v>411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4" t="s">
        <v>412</v>
      </c>
      <c r="B2" s="2"/>
      <c r="C2" s="2"/>
      <c r="D2" s="2"/>
      <c r="E2" s="2"/>
      <c r="F2" s="2"/>
      <c r="G2" s="2"/>
      <c r="H2" s="2"/>
    </row>
    <row r="4" customFormat="false" ht="23.85" hidden="false" customHeight="false" outlineLevel="0" collapsed="false">
      <c r="A4" s="44" t="s">
        <v>413</v>
      </c>
      <c r="B4" s="44" t="s">
        <v>414</v>
      </c>
      <c r="C4" s="44" t="s">
        <v>415</v>
      </c>
      <c r="D4" s="44" t="s">
        <v>416</v>
      </c>
      <c r="E4" s="44" t="s">
        <v>417</v>
      </c>
      <c r="F4" s="44" t="s">
        <v>418</v>
      </c>
      <c r="G4" s="44" t="s">
        <v>419</v>
      </c>
      <c r="H4" s="44" t="s">
        <v>420</v>
      </c>
    </row>
    <row r="5" customFormat="false" ht="30" hidden="false" customHeight="true" outlineLevel="0" collapsed="false">
      <c r="A5" s="45" t="s">
        <v>158</v>
      </c>
      <c r="B5" s="47" t="s">
        <v>421</v>
      </c>
      <c r="C5" s="102" t="n">
        <v>2</v>
      </c>
      <c r="D5" s="83" t="n">
        <v>1</v>
      </c>
      <c r="E5" s="103" t="n">
        <v>0.42</v>
      </c>
      <c r="F5" s="104" t="n">
        <f aca="false">C5*D5</f>
        <v>2</v>
      </c>
      <c r="G5" s="105" t="n">
        <f aca="false">F5*E5*'WBS Schedule'!$G$7</f>
        <v>84</v>
      </c>
      <c r="H5" s="47" t="s">
        <v>422</v>
      </c>
    </row>
    <row r="6" customFormat="false" ht="30" hidden="false" customHeight="true" outlineLevel="0" collapsed="false">
      <c r="A6" s="45" t="s">
        <v>190</v>
      </c>
      <c r="B6" s="47" t="s">
        <v>423</v>
      </c>
      <c r="C6" s="102" t="n">
        <v>1</v>
      </c>
      <c r="D6" s="83" t="n">
        <v>0.6</v>
      </c>
      <c r="E6" s="103" t="n">
        <v>0.45</v>
      </c>
      <c r="F6" s="104" t="n">
        <f aca="false">C6*D6</f>
        <v>0.6</v>
      </c>
      <c r="G6" s="105" t="n">
        <f aca="false">F6*E6*'WBS Schedule'!$G$7</f>
        <v>27</v>
      </c>
      <c r="H6" s="47" t="s">
        <v>424</v>
      </c>
    </row>
    <row r="7" customFormat="false" ht="30" hidden="false" customHeight="true" outlineLevel="0" collapsed="false">
      <c r="A7" s="45" t="s">
        <v>220</v>
      </c>
      <c r="B7" s="47" t="s">
        <v>425</v>
      </c>
      <c r="C7" s="102" t="n">
        <v>2</v>
      </c>
      <c r="D7" s="83" t="n">
        <v>1</v>
      </c>
      <c r="E7" s="103" t="n">
        <v>0.36</v>
      </c>
      <c r="F7" s="104" t="n">
        <f aca="false">C7*D7</f>
        <v>2</v>
      </c>
      <c r="G7" s="105" t="n">
        <f aca="false">F7*E7*'WBS Schedule'!$G$7</f>
        <v>72</v>
      </c>
      <c r="H7" s="47" t="s">
        <v>426</v>
      </c>
    </row>
    <row r="8" customFormat="false" ht="30" hidden="false" customHeight="true" outlineLevel="0" collapsed="false">
      <c r="A8" s="45" t="s">
        <v>182</v>
      </c>
      <c r="B8" s="47" t="s">
        <v>427</v>
      </c>
      <c r="C8" s="102" t="n">
        <v>2</v>
      </c>
      <c r="D8" s="83" t="n">
        <v>1</v>
      </c>
      <c r="E8" s="103" t="n">
        <v>0.32</v>
      </c>
      <c r="F8" s="104" t="n">
        <f aca="false">C8*D8</f>
        <v>2</v>
      </c>
      <c r="G8" s="105" t="n">
        <f aca="false">F8*E8*'WBS Schedule'!$G$7</f>
        <v>64</v>
      </c>
      <c r="H8" s="47" t="s">
        <v>428</v>
      </c>
    </row>
    <row r="9" customFormat="false" ht="30" hidden="false" customHeight="true" outlineLevel="0" collapsed="false">
      <c r="A9" s="45" t="s">
        <v>244</v>
      </c>
      <c r="B9" s="47" t="s">
        <v>429</v>
      </c>
      <c r="C9" s="102" t="n">
        <v>1</v>
      </c>
      <c r="D9" s="83" t="n">
        <v>1</v>
      </c>
      <c r="E9" s="103" t="n">
        <v>0.28</v>
      </c>
      <c r="F9" s="104" t="n">
        <f aca="false">C9*D9</f>
        <v>1</v>
      </c>
      <c r="G9" s="105" t="n">
        <f aca="false">F9*E9*'WBS Schedule'!$G$7</f>
        <v>28</v>
      </c>
      <c r="H9" s="47" t="s">
        <v>430</v>
      </c>
    </row>
    <row r="10" customFormat="false" ht="30" hidden="false" customHeight="true" outlineLevel="0" collapsed="false">
      <c r="A10" s="45" t="s">
        <v>289</v>
      </c>
      <c r="B10" s="47" t="s">
        <v>431</v>
      </c>
      <c r="C10" s="102" t="n">
        <v>1</v>
      </c>
      <c r="D10" s="83" t="n">
        <v>1</v>
      </c>
      <c r="E10" s="103" t="n">
        <v>0.26</v>
      </c>
      <c r="F10" s="104" t="n">
        <f aca="false">C10*D10</f>
        <v>1</v>
      </c>
      <c r="G10" s="105" t="n">
        <f aca="false">F10*E10*'WBS Schedule'!$G$7</f>
        <v>26</v>
      </c>
      <c r="H10" s="47" t="s">
        <v>432</v>
      </c>
    </row>
    <row r="11" customFormat="false" ht="30" hidden="false" customHeight="true" outlineLevel="0" collapsed="false">
      <c r="A11" s="45" t="s">
        <v>198</v>
      </c>
      <c r="B11" s="47" t="s">
        <v>433</v>
      </c>
      <c r="C11" s="102" t="n">
        <v>1</v>
      </c>
      <c r="D11" s="83" t="n">
        <v>0.5</v>
      </c>
      <c r="E11" s="103" t="n">
        <v>0.38</v>
      </c>
      <c r="F11" s="104" t="n">
        <f aca="false">C11*D11</f>
        <v>0.5</v>
      </c>
      <c r="G11" s="105" t="n">
        <f aca="false">F11*E11*'WBS Schedule'!$G$7</f>
        <v>19</v>
      </c>
      <c r="H11" s="47" t="s">
        <v>434</v>
      </c>
    </row>
    <row r="12" customFormat="false" ht="30" hidden="false" customHeight="true" outlineLevel="0" collapsed="false">
      <c r="A12" s="45" t="s">
        <v>216</v>
      </c>
      <c r="B12" s="47" t="s">
        <v>435</v>
      </c>
      <c r="C12" s="102" t="n">
        <v>1</v>
      </c>
      <c r="D12" s="83" t="n">
        <v>0.8</v>
      </c>
      <c r="E12" s="103" t="n">
        <v>0.3</v>
      </c>
      <c r="F12" s="104" t="n">
        <f aca="false">C12*D12</f>
        <v>0.8</v>
      </c>
      <c r="G12" s="105" t="n">
        <f aca="false">F12*E12*'WBS Schedule'!$G$7</f>
        <v>24</v>
      </c>
      <c r="H12" s="47" t="s">
        <v>436</v>
      </c>
    </row>
    <row r="13" customFormat="false" ht="30" hidden="false" customHeight="true" outlineLevel="0" collapsed="false">
      <c r="A13" s="45" t="s">
        <v>437</v>
      </c>
      <c r="B13" s="47" t="s">
        <v>438</v>
      </c>
      <c r="C13" s="102" t="n">
        <v>3</v>
      </c>
      <c r="D13" s="83" t="n">
        <v>0.25</v>
      </c>
      <c r="E13" s="103" t="n">
        <v>0.35</v>
      </c>
      <c r="F13" s="104" t="n">
        <f aca="false">C13*D13</f>
        <v>0.75</v>
      </c>
      <c r="G13" s="105" t="n">
        <f aca="false">F13*E13*'WBS Schedule'!$G$7</f>
        <v>26.25</v>
      </c>
      <c r="H13" s="47" t="s">
        <v>439</v>
      </c>
    </row>
    <row r="14" customFormat="false" ht="23.85" hidden="false" customHeight="false" outlineLevel="0" collapsed="false">
      <c r="A14" s="72" t="s">
        <v>440</v>
      </c>
      <c r="B14" s="72"/>
      <c r="C14" s="71" t="n">
        <f aca="false">SUM(C5:C13)</f>
        <v>14</v>
      </c>
      <c r="D14" s="71"/>
      <c r="E14" s="71"/>
      <c r="F14" s="106" t="n">
        <f aca="false">SUM(F5:F13)</f>
        <v>10.65</v>
      </c>
      <c r="G14" s="107" t="n">
        <f aca="false">SUM(G5:G13)</f>
        <v>370.25</v>
      </c>
      <c r="H14" s="72" t="s">
        <v>441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4D4E"/>
    <pageSetUpPr fitToPage="false"/>
  </sheetPr>
  <dimension ref="A1:Z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7"/>
    <col collapsed="false" customWidth="true" hidden="false" outlineLevel="0" max="5" min="5" style="0" width="44"/>
    <col collapsed="false" customWidth="true" hidden="false" outlineLevel="0" max="26" min="6" style="0" width="4.2"/>
  </cols>
  <sheetData>
    <row r="1" customFormat="false" ht="25.5" hidden="false" customHeight="true" outlineLevel="0" collapsed="false">
      <c r="A1" s="43" t="s">
        <v>442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4" t="s">
        <v>443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customFormat="false" ht="23.85" hidden="false" customHeight="false" outlineLevel="0" collapsed="false">
      <c r="A4" s="44" t="s">
        <v>444</v>
      </c>
      <c r="B4" s="44" t="s">
        <v>445</v>
      </c>
      <c r="C4" s="44" t="s">
        <v>446</v>
      </c>
      <c r="D4" s="44" t="s">
        <v>447</v>
      </c>
      <c r="E4" s="44" t="s">
        <v>448</v>
      </c>
      <c r="F4" s="108" t="s">
        <v>118</v>
      </c>
      <c r="G4" s="108" t="s">
        <v>119</v>
      </c>
      <c r="H4" s="108" t="s">
        <v>120</v>
      </c>
      <c r="I4" s="108" t="s">
        <v>121</v>
      </c>
      <c r="J4" s="108" t="s">
        <v>122</v>
      </c>
      <c r="K4" s="108" t="s">
        <v>123</v>
      </c>
      <c r="L4" s="108" t="s">
        <v>124</v>
      </c>
      <c r="M4" s="108" t="s">
        <v>125</v>
      </c>
      <c r="N4" s="108" t="s">
        <v>126</v>
      </c>
      <c r="O4" s="108" t="s">
        <v>127</v>
      </c>
      <c r="P4" s="108" t="s">
        <v>128</v>
      </c>
      <c r="Q4" s="108" t="s">
        <v>129</v>
      </c>
      <c r="R4" s="108" t="s">
        <v>130</v>
      </c>
      <c r="S4" s="108" t="s">
        <v>131</v>
      </c>
      <c r="T4" s="108" t="s">
        <v>132</v>
      </c>
      <c r="U4" s="108" t="s">
        <v>133</v>
      </c>
      <c r="V4" s="108" t="s">
        <v>134</v>
      </c>
      <c r="W4" s="108" t="s">
        <v>135</v>
      </c>
      <c r="X4" s="108" t="s">
        <v>136</v>
      </c>
      <c r="Y4" s="108" t="s">
        <v>137</v>
      </c>
      <c r="Z4" s="108" t="s">
        <v>138</v>
      </c>
    </row>
    <row r="5" customFormat="false" ht="27.75" hidden="false" customHeight="true" outlineLevel="0" collapsed="false">
      <c r="A5" s="45" t="s">
        <v>449</v>
      </c>
      <c r="B5" s="47" t="s">
        <v>450</v>
      </c>
      <c r="C5" s="80" t="n">
        <v>1</v>
      </c>
      <c r="D5" s="80" t="n">
        <v>20</v>
      </c>
      <c r="E5" s="47" t="s">
        <v>451</v>
      </c>
      <c r="F5" s="109" t="n">
        <f aca="false">IF(AND(1&gt;=$C5,1&lt;=$D5),1,"")</f>
        <v>1</v>
      </c>
      <c r="G5" s="109" t="n">
        <f aca="false">IF(AND(2&gt;=$C5,2&lt;=$D5),1,"")</f>
        <v>1</v>
      </c>
      <c r="H5" s="109" t="n">
        <f aca="false">IF(AND(3&gt;=$C5,3&lt;=$D5),1,"")</f>
        <v>1</v>
      </c>
      <c r="I5" s="109" t="n">
        <f aca="false">IF(AND(4&gt;=$C5,4&lt;=$D5),1,"")</f>
        <v>1</v>
      </c>
      <c r="J5" s="109" t="n">
        <f aca="false">IF(AND(5&gt;=$C5,5&lt;=$D5),1,"")</f>
        <v>1</v>
      </c>
      <c r="K5" s="109" t="n">
        <f aca="false">IF(AND(6&gt;=$C5,6&lt;=$D5),1,"")</f>
        <v>1</v>
      </c>
      <c r="L5" s="109" t="n">
        <f aca="false">IF(AND(7&gt;=$C5,7&lt;=$D5),1,"")</f>
        <v>1</v>
      </c>
      <c r="M5" s="109" t="n">
        <f aca="false">IF(AND(8&gt;=$C5,8&lt;=$D5),1,"")</f>
        <v>1</v>
      </c>
      <c r="N5" s="109" t="n">
        <f aca="false">IF(AND(9&gt;=$C5,9&lt;=$D5),1,"")</f>
        <v>1</v>
      </c>
      <c r="O5" s="109" t="n">
        <f aca="false">IF(AND(10&gt;=$C5,10&lt;=$D5),1,"")</f>
        <v>1</v>
      </c>
      <c r="P5" s="109" t="n">
        <f aca="false">IF(AND(11&gt;=$C5,11&lt;=$D5),1,"")</f>
        <v>1</v>
      </c>
      <c r="Q5" s="109" t="n">
        <f aca="false">IF(AND(12&gt;=$C5,12&lt;=$D5),1,"")</f>
        <v>1</v>
      </c>
      <c r="R5" s="109" t="n">
        <f aca="false">IF(AND(13&gt;=$C5,13&lt;=$D5),1,"")</f>
        <v>1</v>
      </c>
      <c r="S5" s="109" t="n">
        <f aca="false">IF(AND(14&gt;=$C5,14&lt;=$D5),1,"")</f>
        <v>1</v>
      </c>
      <c r="T5" s="109" t="n">
        <f aca="false">IF(AND(15&gt;=$C5,15&lt;=$D5),1,"")</f>
        <v>1</v>
      </c>
      <c r="U5" s="109" t="n">
        <f aca="false">IF(AND(16&gt;=$C5,16&lt;=$D5),1,"")</f>
        <v>1</v>
      </c>
      <c r="V5" s="109" t="n">
        <f aca="false">IF(AND(17&gt;=$C5,17&lt;=$D5),1,"")</f>
        <v>1</v>
      </c>
      <c r="W5" s="109" t="n">
        <f aca="false">IF(AND(18&gt;=$C5,18&lt;=$D5),1,"")</f>
        <v>1</v>
      </c>
      <c r="X5" s="109" t="n">
        <f aca="false">IF(AND(19&gt;=$C5,19&lt;=$D5),1,"")</f>
        <v>1</v>
      </c>
      <c r="Y5" s="109" t="n">
        <f aca="false">IF(AND(20&gt;=$C5,20&lt;=$D5),1,"")</f>
        <v>1</v>
      </c>
      <c r="Z5" s="109" t="str">
        <f aca="false">IF(AND(21&gt;=$C5,21&lt;=$D5),1,"")</f>
        <v/>
      </c>
    </row>
    <row r="6" customFormat="false" ht="27.75" hidden="false" customHeight="true" outlineLevel="0" collapsed="false">
      <c r="A6" s="45" t="s">
        <v>452</v>
      </c>
      <c r="B6" s="47" t="s">
        <v>423</v>
      </c>
      <c r="C6" s="80" t="n">
        <v>1</v>
      </c>
      <c r="D6" s="80" t="n">
        <v>20</v>
      </c>
      <c r="E6" s="47" t="s">
        <v>453</v>
      </c>
      <c r="F6" s="109" t="n">
        <f aca="false">IF(AND(1&gt;=$C6,1&lt;=$D6),1,"")</f>
        <v>1</v>
      </c>
      <c r="G6" s="109" t="n">
        <f aca="false">IF(AND(2&gt;=$C6,2&lt;=$D6),1,"")</f>
        <v>1</v>
      </c>
      <c r="H6" s="109" t="n">
        <f aca="false">IF(AND(3&gt;=$C6,3&lt;=$D6),1,"")</f>
        <v>1</v>
      </c>
      <c r="I6" s="109" t="n">
        <f aca="false">IF(AND(4&gt;=$C6,4&lt;=$D6),1,"")</f>
        <v>1</v>
      </c>
      <c r="J6" s="109" t="n">
        <f aca="false">IF(AND(5&gt;=$C6,5&lt;=$D6),1,"")</f>
        <v>1</v>
      </c>
      <c r="K6" s="109" t="n">
        <f aca="false">IF(AND(6&gt;=$C6,6&lt;=$D6),1,"")</f>
        <v>1</v>
      </c>
      <c r="L6" s="109" t="n">
        <f aca="false">IF(AND(7&gt;=$C6,7&lt;=$D6),1,"")</f>
        <v>1</v>
      </c>
      <c r="M6" s="109" t="n">
        <f aca="false">IF(AND(8&gt;=$C6,8&lt;=$D6),1,"")</f>
        <v>1</v>
      </c>
      <c r="N6" s="109" t="n">
        <f aca="false">IF(AND(9&gt;=$C6,9&lt;=$D6),1,"")</f>
        <v>1</v>
      </c>
      <c r="O6" s="109" t="n">
        <f aca="false">IF(AND(10&gt;=$C6,10&lt;=$D6),1,"")</f>
        <v>1</v>
      </c>
      <c r="P6" s="109" t="n">
        <f aca="false">IF(AND(11&gt;=$C6,11&lt;=$D6),1,"")</f>
        <v>1</v>
      </c>
      <c r="Q6" s="109" t="n">
        <f aca="false">IF(AND(12&gt;=$C6,12&lt;=$D6),1,"")</f>
        <v>1</v>
      </c>
      <c r="R6" s="109" t="n">
        <f aca="false">IF(AND(13&gt;=$C6,13&lt;=$D6),1,"")</f>
        <v>1</v>
      </c>
      <c r="S6" s="109" t="n">
        <f aca="false">IF(AND(14&gt;=$C6,14&lt;=$D6),1,"")</f>
        <v>1</v>
      </c>
      <c r="T6" s="109" t="n">
        <f aca="false">IF(AND(15&gt;=$C6,15&lt;=$D6),1,"")</f>
        <v>1</v>
      </c>
      <c r="U6" s="109" t="n">
        <f aca="false">IF(AND(16&gt;=$C6,16&lt;=$D6),1,"")</f>
        <v>1</v>
      </c>
      <c r="V6" s="109" t="n">
        <f aca="false">IF(AND(17&gt;=$C6,17&lt;=$D6),1,"")</f>
        <v>1</v>
      </c>
      <c r="W6" s="109" t="n">
        <f aca="false">IF(AND(18&gt;=$C6,18&lt;=$D6),1,"")</f>
        <v>1</v>
      </c>
      <c r="X6" s="109" t="n">
        <f aca="false">IF(AND(19&gt;=$C6,19&lt;=$D6),1,"")</f>
        <v>1</v>
      </c>
      <c r="Y6" s="109" t="n">
        <f aca="false">IF(AND(20&gt;=$C6,20&lt;=$D6),1,"")</f>
        <v>1</v>
      </c>
      <c r="Z6" s="109" t="str">
        <f aca="false">IF(AND(21&gt;=$C6,21&lt;=$D6),1,"")</f>
        <v/>
      </c>
    </row>
    <row r="7" customFormat="false" ht="27.75" hidden="false" customHeight="true" outlineLevel="0" collapsed="false">
      <c r="A7" s="45" t="s">
        <v>454</v>
      </c>
      <c r="B7" s="47" t="s">
        <v>455</v>
      </c>
      <c r="C7" s="80" t="n">
        <v>2</v>
      </c>
      <c r="D7" s="80" t="n">
        <v>12</v>
      </c>
      <c r="E7" s="47" t="s">
        <v>456</v>
      </c>
      <c r="F7" s="109" t="str">
        <f aca="false">IF(AND(1&gt;=$C7,1&lt;=$D7),1,"")</f>
        <v/>
      </c>
      <c r="G7" s="109" t="n">
        <f aca="false">IF(AND(2&gt;=$C7,2&lt;=$D7),1,"")</f>
        <v>1</v>
      </c>
      <c r="H7" s="109" t="n">
        <f aca="false">IF(AND(3&gt;=$C7,3&lt;=$D7),1,"")</f>
        <v>1</v>
      </c>
      <c r="I7" s="109" t="n">
        <f aca="false">IF(AND(4&gt;=$C7,4&lt;=$D7),1,"")</f>
        <v>1</v>
      </c>
      <c r="J7" s="109" t="n">
        <f aca="false">IF(AND(5&gt;=$C7,5&lt;=$D7),1,"")</f>
        <v>1</v>
      </c>
      <c r="K7" s="109" t="n">
        <f aca="false">IF(AND(6&gt;=$C7,6&lt;=$D7),1,"")</f>
        <v>1</v>
      </c>
      <c r="L7" s="109" t="n">
        <f aca="false">IF(AND(7&gt;=$C7,7&lt;=$D7),1,"")</f>
        <v>1</v>
      </c>
      <c r="M7" s="109" t="n">
        <f aca="false">IF(AND(8&gt;=$C7,8&lt;=$D7),1,"")</f>
        <v>1</v>
      </c>
      <c r="N7" s="109" t="n">
        <f aca="false">IF(AND(9&gt;=$C7,9&lt;=$D7),1,"")</f>
        <v>1</v>
      </c>
      <c r="O7" s="109" t="n">
        <f aca="false">IF(AND(10&gt;=$C7,10&lt;=$D7),1,"")</f>
        <v>1</v>
      </c>
      <c r="P7" s="109" t="n">
        <f aca="false">IF(AND(11&gt;=$C7,11&lt;=$D7),1,"")</f>
        <v>1</v>
      </c>
      <c r="Q7" s="109" t="n">
        <f aca="false">IF(AND(12&gt;=$C7,12&lt;=$D7),1,"")</f>
        <v>1</v>
      </c>
      <c r="R7" s="109" t="str">
        <f aca="false">IF(AND(13&gt;=$C7,13&lt;=$D7),1,"")</f>
        <v/>
      </c>
      <c r="S7" s="109" t="str">
        <f aca="false">IF(AND(14&gt;=$C7,14&lt;=$D7),1,"")</f>
        <v/>
      </c>
      <c r="T7" s="109" t="str">
        <f aca="false">IF(AND(15&gt;=$C7,15&lt;=$D7),1,"")</f>
        <v/>
      </c>
      <c r="U7" s="109" t="str">
        <f aca="false">IF(AND(16&gt;=$C7,16&lt;=$D7),1,"")</f>
        <v/>
      </c>
      <c r="V7" s="109" t="str">
        <f aca="false">IF(AND(17&gt;=$C7,17&lt;=$D7),1,"")</f>
        <v/>
      </c>
      <c r="W7" s="109" t="str">
        <f aca="false">IF(AND(18&gt;=$C7,18&lt;=$D7),1,"")</f>
        <v/>
      </c>
      <c r="X7" s="109" t="str">
        <f aca="false">IF(AND(19&gt;=$C7,19&lt;=$D7),1,"")</f>
        <v/>
      </c>
      <c r="Y7" s="109" t="str">
        <f aca="false">IF(AND(20&gt;=$C7,20&lt;=$D7),1,"")</f>
        <v/>
      </c>
      <c r="Z7" s="109" t="str">
        <f aca="false">IF(AND(21&gt;=$C7,21&lt;=$D7),1,"")</f>
        <v/>
      </c>
    </row>
    <row r="8" customFormat="false" ht="27.75" hidden="false" customHeight="true" outlineLevel="0" collapsed="false">
      <c r="A8" s="45" t="s">
        <v>457</v>
      </c>
      <c r="B8" s="47" t="s">
        <v>458</v>
      </c>
      <c r="C8" s="80" t="n">
        <v>5</v>
      </c>
      <c r="D8" s="80" t="n">
        <v>16</v>
      </c>
      <c r="E8" s="47" t="s">
        <v>459</v>
      </c>
      <c r="F8" s="109" t="str">
        <f aca="false">IF(AND(1&gt;=$C8,1&lt;=$D8),1,"")</f>
        <v/>
      </c>
      <c r="G8" s="109" t="str">
        <f aca="false">IF(AND(2&gt;=$C8,2&lt;=$D8),1,"")</f>
        <v/>
      </c>
      <c r="H8" s="109" t="str">
        <f aca="false">IF(AND(3&gt;=$C8,3&lt;=$D8),1,"")</f>
        <v/>
      </c>
      <c r="I8" s="109" t="str">
        <f aca="false">IF(AND(4&gt;=$C8,4&lt;=$D8),1,"")</f>
        <v/>
      </c>
      <c r="J8" s="109" t="n">
        <f aca="false">IF(AND(5&gt;=$C8,5&lt;=$D8),1,"")</f>
        <v>1</v>
      </c>
      <c r="K8" s="109" t="n">
        <f aca="false">IF(AND(6&gt;=$C8,6&lt;=$D8),1,"")</f>
        <v>1</v>
      </c>
      <c r="L8" s="109" t="n">
        <f aca="false">IF(AND(7&gt;=$C8,7&lt;=$D8),1,"")</f>
        <v>1</v>
      </c>
      <c r="M8" s="109" t="n">
        <f aca="false">IF(AND(8&gt;=$C8,8&lt;=$D8),1,"")</f>
        <v>1</v>
      </c>
      <c r="N8" s="109" t="n">
        <f aca="false">IF(AND(9&gt;=$C8,9&lt;=$D8),1,"")</f>
        <v>1</v>
      </c>
      <c r="O8" s="109" t="n">
        <f aca="false">IF(AND(10&gt;=$C8,10&lt;=$D8),1,"")</f>
        <v>1</v>
      </c>
      <c r="P8" s="109" t="n">
        <f aca="false">IF(AND(11&gt;=$C8,11&lt;=$D8),1,"")</f>
        <v>1</v>
      </c>
      <c r="Q8" s="109" t="n">
        <f aca="false">IF(AND(12&gt;=$C8,12&lt;=$D8),1,"")</f>
        <v>1</v>
      </c>
      <c r="R8" s="109" t="n">
        <f aca="false">IF(AND(13&gt;=$C8,13&lt;=$D8),1,"")</f>
        <v>1</v>
      </c>
      <c r="S8" s="109" t="n">
        <f aca="false">IF(AND(14&gt;=$C8,14&lt;=$D8),1,"")</f>
        <v>1</v>
      </c>
      <c r="T8" s="109" t="n">
        <f aca="false">IF(AND(15&gt;=$C8,15&lt;=$D8),1,"")</f>
        <v>1</v>
      </c>
      <c r="U8" s="109" t="n">
        <f aca="false">IF(AND(16&gt;=$C8,16&lt;=$D8),1,"")</f>
        <v>1</v>
      </c>
      <c r="V8" s="109" t="str">
        <f aca="false">IF(AND(17&gt;=$C8,17&lt;=$D8),1,"")</f>
        <v/>
      </c>
      <c r="W8" s="109" t="str">
        <f aca="false">IF(AND(18&gt;=$C8,18&lt;=$D8),1,"")</f>
        <v/>
      </c>
      <c r="X8" s="109" t="str">
        <f aca="false">IF(AND(19&gt;=$C8,19&lt;=$D8),1,"")</f>
        <v/>
      </c>
      <c r="Y8" s="109" t="str">
        <f aca="false">IF(AND(20&gt;=$C8,20&lt;=$D8),1,"")</f>
        <v/>
      </c>
      <c r="Z8" s="109" t="str">
        <f aca="false">IF(AND(21&gt;=$C8,21&lt;=$D8),1,"")</f>
        <v/>
      </c>
    </row>
    <row r="9" customFormat="false" ht="27.75" hidden="false" customHeight="true" outlineLevel="0" collapsed="false">
      <c r="A9" s="45" t="s">
        <v>460</v>
      </c>
      <c r="B9" s="47" t="s">
        <v>461</v>
      </c>
      <c r="C9" s="80" t="n">
        <v>8</v>
      </c>
      <c r="D9" s="80" t="n">
        <v>14</v>
      </c>
      <c r="E9" s="47" t="s">
        <v>462</v>
      </c>
      <c r="F9" s="109" t="str">
        <f aca="false">IF(AND(1&gt;=$C9,1&lt;=$D9),1,"")</f>
        <v/>
      </c>
      <c r="G9" s="109" t="str">
        <f aca="false">IF(AND(2&gt;=$C9,2&lt;=$D9),1,"")</f>
        <v/>
      </c>
      <c r="H9" s="109" t="str">
        <f aca="false">IF(AND(3&gt;=$C9,3&lt;=$D9),1,"")</f>
        <v/>
      </c>
      <c r="I9" s="109" t="str">
        <f aca="false">IF(AND(4&gt;=$C9,4&lt;=$D9),1,"")</f>
        <v/>
      </c>
      <c r="J9" s="109" t="str">
        <f aca="false">IF(AND(5&gt;=$C9,5&lt;=$D9),1,"")</f>
        <v/>
      </c>
      <c r="K9" s="109" t="str">
        <f aca="false">IF(AND(6&gt;=$C9,6&lt;=$D9),1,"")</f>
        <v/>
      </c>
      <c r="L9" s="109" t="str">
        <f aca="false">IF(AND(7&gt;=$C9,7&lt;=$D9),1,"")</f>
        <v/>
      </c>
      <c r="M9" s="109" t="n">
        <f aca="false">IF(AND(8&gt;=$C9,8&lt;=$D9),1,"")</f>
        <v>1</v>
      </c>
      <c r="N9" s="109" t="n">
        <f aca="false">IF(AND(9&gt;=$C9,9&lt;=$D9),1,"")</f>
        <v>1</v>
      </c>
      <c r="O9" s="109" t="n">
        <f aca="false">IF(AND(10&gt;=$C9,10&lt;=$D9),1,"")</f>
        <v>1</v>
      </c>
      <c r="P9" s="109" t="n">
        <f aca="false">IF(AND(11&gt;=$C9,11&lt;=$D9),1,"")</f>
        <v>1</v>
      </c>
      <c r="Q9" s="109" t="n">
        <f aca="false">IF(AND(12&gt;=$C9,12&lt;=$D9),1,"")</f>
        <v>1</v>
      </c>
      <c r="R9" s="109" t="n">
        <f aca="false">IF(AND(13&gt;=$C9,13&lt;=$D9),1,"")</f>
        <v>1</v>
      </c>
      <c r="S9" s="109" t="n">
        <f aca="false">IF(AND(14&gt;=$C9,14&lt;=$D9),1,"")</f>
        <v>1</v>
      </c>
      <c r="T9" s="109" t="str">
        <f aca="false">IF(AND(15&gt;=$C9,15&lt;=$D9),1,"")</f>
        <v/>
      </c>
      <c r="U9" s="109" t="str">
        <f aca="false">IF(AND(16&gt;=$C9,16&lt;=$D9),1,"")</f>
        <v/>
      </c>
      <c r="V9" s="109" t="str">
        <f aca="false">IF(AND(17&gt;=$C9,17&lt;=$D9),1,"")</f>
        <v/>
      </c>
      <c r="W9" s="109" t="str">
        <f aca="false">IF(AND(18&gt;=$C9,18&lt;=$D9),1,"")</f>
        <v/>
      </c>
      <c r="X9" s="109" t="str">
        <f aca="false">IF(AND(19&gt;=$C9,19&lt;=$D9),1,"")</f>
        <v/>
      </c>
      <c r="Y9" s="109" t="str">
        <f aca="false">IF(AND(20&gt;=$C9,20&lt;=$D9),1,"")</f>
        <v/>
      </c>
      <c r="Z9" s="109" t="str">
        <f aca="false">IF(AND(21&gt;=$C9,21&lt;=$D9),1,"")</f>
        <v/>
      </c>
    </row>
    <row r="10" customFormat="false" ht="27.75" hidden="false" customHeight="true" outlineLevel="0" collapsed="false">
      <c r="A10" s="45" t="s">
        <v>463</v>
      </c>
      <c r="B10" s="47" t="s">
        <v>433</v>
      </c>
      <c r="C10" s="80" t="n">
        <v>1</v>
      </c>
      <c r="D10" s="80" t="n">
        <v>20</v>
      </c>
      <c r="E10" s="47" t="s">
        <v>464</v>
      </c>
      <c r="F10" s="109" t="n">
        <f aca="false">IF(AND(1&gt;=$C10,1&lt;=$D10),1,"")</f>
        <v>1</v>
      </c>
      <c r="G10" s="109" t="n">
        <f aca="false">IF(AND(2&gt;=$C10,2&lt;=$D10),1,"")</f>
        <v>1</v>
      </c>
      <c r="H10" s="109" t="n">
        <f aca="false">IF(AND(3&gt;=$C10,3&lt;=$D10),1,"")</f>
        <v>1</v>
      </c>
      <c r="I10" s="109" t="n">
        <f aca="false">IF(AND(4&gt;=$C10,4&lt;=$D10),1,"")</f>
        <v>1</v>
      </c>
      <c r="J10" s="109" t="n">
        <f aca="false">IF(AND(5&gt;=$C10,5&lt;=$D10),1,"")</f>
        <v>1</v>
      </c>
      <c r="K10" s="109" t="n">
        <f aca="false">IF(AND(6&gt;=$C10,6&lt;=$D10),1,"")</f>
        <v>1</v>
      </c>
      <c r="L10" s="109" t="n">
        <f aca="false">IF(AND(7&gt;=$C10,7&lt;=$D10),1,"")</f>
        <v>1</v>
      </c>
      <c r="M10" s="109" t="n">
        <f aca="false">IF(AND(8&gt;=$C10,8&lt;=$D10),1,"")</f>
        <v>1</v>
      </c>
      <c r="N10" s="109" t="n">
        <f aca="false">IF(AND(9&gt;=$C10,9&lt;=$D10),1,"")</f>
        <v>1</v>
      </c>
      <c r="O10" s="109" t="n">
        <f aca="false">IF(AND(10&gt;=$C10,10&lt;=$D10),1,"")</f>
        <v>1</v>
      </c>
      <c r="P10" s="109" t="n">
        <f aca="false">IF(AND(11&gt;=$C10,11&lt;=$D10),1,"")</f>
        <v>1</v>
      </c>
      <c r="Q10" s="109" t="n">
        <f aca="false">IF(AND(12&gt;=$C10,12&lt;=$D10),1,"")</f>
        <v>1</v>
      </c>
      <c r="R10" s="109" t="n">
        <f aca="false">IF(AND(13&gt;=$C10,13&lt;=$D10),1,"")</f>
        <v>1</v>
      </c>
      <c r="S10" s="109" t="n">
        <f aca="false">IF(AND(14&gt;=$C10,14&lt;=$D10),1,"")</f>
        <v>1</v>
      </c>
      <c r="T10" s="109" t="n">
        <f aca="false">IF(AND(15&gt;=$C10,15&lt;=$D10),1,"")</f>
        <v>1</v>
      </c>
      <c r="U10" s="109" t="n">
        <f aca="false">IF(AND(16&gt;=$C10,16&lt;=$D10),1,"")</f>
        <v>1</v>
      </c>
      <c r="V10" s="109" t="n">
        <f aca="false">IF(AND(17&gt;=$C10,17&lt;=$D10),1,"")</f>
        <v>1</v>
      </c>
      <c r="W10" s="109" t="n">
        <f aca="false">IF(AND(18&gt;=$C10,18&lt;=$D10),1,"")</f>
        <v>1</v>
      </c>
      <c r="X10" s="109" t="n">
        <f aca="false">IF(AND(19&gt;=$C10,19&lt;=$D10),1,"")</f>
        <v>1</v>
      </c>
      <c r="Y10" s="109" t="n">
        <f aca="false">IF(AND(20&gt;=$C10,20&lt;=$D10),1,"")</f>
        <v>1</v>
      </c>
      <c r="Z10" s="109" t="str">
        <f aca="false">IF(AND(21&gt;=$C10,21&lt;=$D10),1,"")</f>
        <v/>
      </c>
    </row>
    <row r="11" customFormat="false" ht="27.75" hidden="false" customHeight="true" outlineLevel="0" collapsed="false">
      <c r="A11" s="45" t="s">
        <v>465</v>
      </c>
      <c r="B11" s="47" t="s">
        <v>431</v>
      </c>
      <c r="C11" s="80" t="n">
        <v>5</v>
      </c>
      <c r="D11" s="80" t="n">
        <v>20</v>
      </c>
      <c r="E11" s="47" t="s">
        <v>466</v>
      </c>
      <c r="F11" s="109" t="str">
        <f aca="false">IF(AND(1&gt;=$C11,1&lt;=$D11),1,"")</f>
        <v/>
      </c>
      <c r="G11" s="109" t="str">
        <f aca="false">IF(AND(2&gt;=$C11,2&lt;=$D11),1,"")</f>
        <v/>
      </c>
      <c r="H11" s="109" t="str">
        <f aca="false">IF(AND(3&gt;=$C11,3&lt;=$D11),1,"")</f>
        <v/>
      </c>
      <c r="I11" s="109" t="str">
        <f aca="false">IF(AND(4&gt;=$C11,4&lt;=$D11),1,"")</f>
        <v/>
      </c>
      <c r="J11" s="109" t="n">
        <f aca="false">IF(AND(5&gt;=$C11,5&lt;=$D11),1,"")</f>
        <v>1</v>
      </c>
      <c r="K11" s="109" t="n">
        <f aca="false">IF(AND(6&gt;=$C11,6&lt;=$D11),1,"")</f>
        <v>1</v>
      </c>
      <c r="L11" s="109" t="n">
        <f aca="false">IF(AND(7&gt;=$C11,7&lt;=$D11),1,"")</f>
        <v>1</v>
      </c>
      <c r="M11" s="109" t="n">
        <f aca="false">IF(AND(8&gt;=$C11,8&lt;=$D11),1,"")</f>
        <v>1</v>
      </c>
      <c r="N11" s="109" t="n">
        <f aca="false">IF(AND(9&gt;=$C11,9&lt;=$D11),1,"")</f>
        <v>1</v>
      </c>
      <c r="O11" s="109" t="n">
        <f aca="false">IF(AND(10&gt;=$C11,10&lt;=$D11),1,"")</f>
        <v>1</v>
      </c>
      <c r="P11" s="109" t="n">
        <f aca="false">IF(AND(11&gt;=$C11,11&lt;=$D11),1,"")</f>
        <v>1</v>
      </c>
      <c r="Q11" s="109" t="n">
        <f aca="false">IF(AND(12&gt;=$C11,12&lt;=$D11),1,"")</f>
        <v>1</v>
      </c>
      <c r="R11" s="109" t="n">
        <f aca="false">IF(AND(13&gt;=$C11,13&lt;=$D11),1,"")</f>
        <v>1</v>
      </c>
      <c r="S11" s="109" t="n">
        <f aca="false">IF(AND(14&gt;=$C11,14&lt;=$D11),1,"")</f>
        <v>1</v>
      </c>
      <c r="T11" s="109" t="n">
        <f aca="false">IF(AND(15&gt;=$C11,15&lt;=$D11),1,"")</f>
        <v>1</v>
      </c>
      <c r="U11" s="109" t="n">
        <f aca="false">IF(AND(16&gt;=$C11,16&lt;=$D11),1,"")</f>
        <v>1</v>
      </c>
      <c r="V11" s="109" t="n">
        <f aca="false">IF(AND(17&gt;=$C11,17&lt;=$D11),1,"")</f>
        <v>1</v>
      </c>
      <c r="W11" s="109" t="n">
        <f aca="false">IF(AND(18&gt;=$C11,18&lt;=$D11),1,"")</f>
        <v>1</v>
      </c>
      <c r="X11" s="109" t="n">
        <f aca="false">IF(AND(19&gt;=$C11,19&lt;=$D11),1,"")</f>
        <v>1</v>
      </c>
      <c r="Y11" s="109" t="n">
        <f aca="false">IF(AND(20&gt;=$C11,20&lt;=$D11),1,"")</f>
        <v>1</v>
      </c>
      <c r="Z11" s="109" t="str">
        <f aca="false">IF(AND(21&gt;=$C11,21&lt;=$D11),1,"")</f>
        <v/>
      </c>
    </row>
    <row r="12" customFormat="false" ht="27.75" hidden="false" customHeight="true" outlineLevel="0" collapsed="false">
      <c r="A12" s="45" t="s">
        <v>467</v>
      </c>
      <c r="B12" s="47" t="s">
        <v>435</v>
      </c>
      <c r="C12" s="80" t="n">
        <v>2</v>
      </c>
      <c r="D12" s="80" t="n">
        <v>20</v>
      </c>
      <c r="E12" s="47" t="s">
        <v>468</v>
      </c>
      <c r="F12" s="109" t="str">
        <f aca="false">IF(AND(1&gt;=$C12,1&lt;=$D12),1,"")</f>
        <v/>
      </c>
      <c r="G12" s="109" t="n">
        <f aca="false">IF(AND(2&gt;=$C12,2&lt;=$D12),1,"")</f>
        <v>1</v>
      </c>
      <c r="H12" s="109" t="n">
        <f aca="false">IF(AND(3&gt;=$C12,3&lt;=$D12),1,"")</f>
        <v>1</v>
      </c>
      <c r="I12" s="109" t="n">
        <f aca="false">IF(AND(4&gt;=$C12,4&lt;=$D12),1,"")</f>
        <v>1</v>
      </c>
      <c r="J12" s="109" t="n">
        <f aca="false">IF(AND(5&gt;=$C12,5&lt;=$D12),1,"")</f>
        <v>1</v>
      </c>
      <c r="K12" s="109" t="n">
        <f aca="false">IF(AND(6&gt;=$C12,6&lt;=$D12),1,"")</f>
        <v>1</v>
      </c>
      <c r="L12" s="109" t="n">
        <f aca="false">IF(AND(7&gt;=$C12,7&lt;=$D12),1,"")</f>
        <v>1</v>
      </c>
      <c r="M12" s="109" t="n">
        <f aca="false">IF(AND(8&gt;=$C12,8&lt;=$D12),1,"")</f>
        <v>1</v>
      </c>
      <c r="N12" s="109" t="n">
        <f aca="false">IF(AND(9&gt;=$C12,9&lt;=$D12),1,"")</f>
        <v>1</v>
      </c>
      <c r="O12" s="109" t="n">
        <f aca="false">IF(AND(10&gt;=$C12,10&lt;=$D12),1,"")</f>
        <v>1</v>
      </c>
      <c r="P12" s="109" t="n">
        <f aca="false">IF(AND(11&gt;=$C12,11&lt;=$D12),1,"")</f>
        <v>1</v>
      </c>
      <c r="Q12" s="109" t="n">
        <f aca="false">IF(AND(12&gt;=$C12,12&lt;=$D12),1,"")</f>
        <v>1</v>
      </c>
      <c r="R12" s="109" t="n">
        <f aca="false">IF(AND(13&gt;=$C12,13&lt;=$D12),1,"")</f>
        <v>1</v>
      </c>
      <c r="S12" s="109" t="n">
        <f aca="false">IF(AND(14&gt;=$C12,14&lt;=$D12),1,"")</f>
        <v>1</v>
      </c>
      <c r="T12" s="109" t="n">
        <f aca="false">IF(AND(15&gt;=$C12,15&lt;=$D12),1,"")</f>
        <v>1</v>
      </c>
      <c r="U12" s="109" t="n">
        <f aca="false">IF(AND(16&gt;=$C12,16&lt;=$D12),1,"")</f>
        <v>1</v>
      </c>
      <c r="V12" s="109" t="n">
        <f aca="false">IF(AND(17&gt;=$C12,17&lt;=$D12),1,"")</f>
        <v>1</v>
      </c>
      <c r="W12" s="109" t="n">
        <f aca="false">IF(AND(18&gt;=$C12,18&lt;=$D12),1,"")</f>
        <v>1</v>
      </c>
      <c r="X12" s="109" t="n">
        <f aca="false">IF(AND(19&gt;=$C12,19&lt;=$D12),1,"")</f>
        <v>1</v>
      </c>
      <c r="Y12" s="109" t="n">
        <f aca="false">IF(AND(20&gt;=$C12,20&lt;=$D12),1,"")</f>
        <v>1</v>
      </c>
      <c r="Z12" s="109" t="str">
        <f aca="false">IF(AND(21&gt;=$C12,21&lt;=$D12),1,"")</f>
        <v/>
      </c>
    </row>
    <row r="13" customFormat="false" ht="27.75" hidden="false" customHeight="true" outlineLevel="0" collapsed="false">
      <c r="A13" s="45" t="s">
        <v>469</v>
      </c>
      <c r="B13" s="47" t="s">
        <v>450</v>
      </c>
      <c r="C13" s="80" t="n">
        <v>16</v>
      </c>
      <c r="D13" s="80" t="n">
        <v>20</v>
      </c>
      <c r="E13" s="47" t="s">
        <v>470</v>
      </c>
      <c r="F13" s="109" t="str">
        <f aca="false">IF(AND(1&gt;=$C13,1&lt;=$D13),1,"")</f>
        <v/>
      </c>
      <c r="G13" s="109" t="str">
        <f aca="false">IF(AND(2&gt;=$C13,2&lt;=$D13),1,"")</f>
        <v/>
      </c>
      <c r="H13" s="109" t="str">
        <f aca="false">IF(AND(3&gt;=$C13,3&lt;=$D13),1,"")</f>
        <v/>
      </c>
      <c r="I13" s="109" t="str">
        <f aca="false">IF(AND(4&gt;=$C13,4&lt;=$D13),1,"")</f>
        <v/>
      </c>
      <c r="J13" s="109" t="str">
        <f aca="false">IF(AND(5&gt;=$C13,5&lt;=$D13),1,"")</f>
        <v/>
      </c>
      <c r="K13" s="109" t="str">
        <f aca="false">IF(AND(6&gt;=$C13,6&lt;=$D13),1,"")</f>
        <v/>
      </c>
      <c r="L13" s="109" t="str">
        <f aca="false">IF(AND(7&gt;=$C13,7&lt;=$D13),1,"")</f>
        <v/>
      </c>
      <c r="M13" s="109" t="str">
        <f aca="false">IF(AND(8&gt;=$C13,8&lt;=$D13),1,"")</f>
        <v/>
      </c>
      <c r="N13" s="109" t="str">
        <f aca="false">IF(AND(9&gt;=$C13,9&lt;=$D13),1,"")</f>
        <v/>
      </c>
      <c r="O13" s="109" t="str">
        <f aca="false">IF(AND(10&gt;=$C13,10&lt;=$D13),1,"")</f>
        <v/>
      </c>
      <c r="P13" s="109" t="str">
        <f aca="false">IF(AND(11&gt;=$C13,11&lt;=$D13),1,"")</f>
        <v/>
      </c>
      <c r="Q13" s="109" t="str">
        <f aca="false">IF(AND(12&gt;=$C13,12&lt;=$D13),1,"")</f>
        <v/>
      </c>
      <c r="R13" s="109" t="str">
        <f aca="false">IF(AND(13&gt;=$C13,13&lt;=$D13),1,"")</f>
        <v/>
      </c>
      <c r="S13" s="109" t="str">
        <f aca="false">IF(AND(14&gt;=$C13,14&lt;=$D13),1,"")</f>
        <v/>
      </c>
      <c r="T13" s="109" t="str">
        <f aca="false">IF(AND(15&gt;=$C13,15&lt;=$D13),1,"")</f>
        <v/>
      </c>
      <c r="U13" s="109" t="n">
        <f aca="false">IF(AND(16&gt;=$C13,16&lt;=$D13),1,"")</f>
        <v>1</v>
      </c>
      <c r="V13" s="109" t="n">
        <f aca="false">IF(AND(17&gt;=$C13,17&lt;=$D13),1,"")</f>
        <v>1</v>
      </c>
      <c r="W13" s="109" t="n">
        <f aca="false">IF(AND(18&gt;=$C13,18&lt;=$D13),1,"")</f>
        <v>1</v>
      </c>
      <c r="X13" s="109" t="n">
        <f aca="false">IF(AND(19&gt;=$C13,19&lt;=$D13),1,"")</f>
        <v>1</v>
      </c>
      <c r="Y13" s="109" t="n">
        <f aca="false">IF(AND(20&gt;=$C13,20&lt;=$D13),1,"")</f>
        <v>1</v>
      </c>
      <c r="Z13" s="109" t="str">
        <f aca="false">IF(AND(21&gt;=$C13,21&lt;=$D13),1,"")</f>
        <v/>
      </c>
    </row>
  </sheetData>
  <conditionalFormatting sqref="F5:Z13">
    <cfRule type="expression" priority="2" aboveAverage="0" equalAverage="0" bottom="0" percent="0" rank="0" text="" dxfId="28">
      <formula>F5=1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4D4E"/>
    <pageSetUpPr fitToPage="false"/>
  </sheetPr>
  <dimension ref="A1:L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12" min="3" style="0" width="13"/>
  </cols>
  <sheetData>
    <row r="1" customFormat="false" ht="25.5" hidden="false" customHeight="true" outlineLevel="0" collapsed="false">
      <c r="A1" s="43" t="s">
        <v>471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4" t="s">
        <v>472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43.5" hidden="false" customHeight="true" outlineLevel="0" collapsed="false">
      <c r="A4" s="44" t="s">
        <v>473</v>
      </c>
      <c r="B4" s="44" t="s">
        <v>474</v>
      </c>
      <c r="C4" s="44" t="s">
        <v>475</v>
      </c>
      <c r="D4" s="44" t="s">
        <v>190</v>
      </c>
      <c r="E4" s="44" t="s">
        <v>220</v>
      </c>
      <c r="F4" s="44" t="s">
        <v>182</v>
      </c>
      <c r="G4" s="44" t="s">
        <v>244</v>
      </c>
      <c r="H4" s="44" t="s">
        <v>289</v>
      </c>
      <c r="I4" s="44" t="s">
        <v>198</v>
      </c>
      <c r="J4" s="44" t="s">
        <v>216</v>
      </c>
      <c r="K4" s="44" t="s">
        <v>476</v>
      </c>
      <c r="L4" s="44" t="s">
        <v>477</v>
      </c>
    </row>
    <row r="5" customFormat="false" ht="27.75" hidden="false" customHeight="true" outlineLevel="0" collapsed="false">
      <c r="A5" s="110" t="s">
        <v>478</v>
      </c>
      <c r="B5" s="47" t="s">
        <v>479</v>
      </c>
      <c r="C5" s="79" t="s">
        <v>480</v>
      </c>
      <c r="D5" s="79" t="s">
        <v>481</v>
      </c>
      <c r="E5" s="79" t="s">
        <v>481</v>
      </c>
      <c r="F5" s="79" t="s">
        <v>481</v>
      </c>
      <c r="G5" s="79" t="s">
        <v>482</v>
      </c>
      <c r="H5" s="79" t="s">
        <v>481</v>
      </c>
      <c r="I5" s="79" t="s">
        <v>481</v>
      </c>
      <c r="J5" s="79" t="s">
        <v>482</v>
      </c>
      <c r="K5" s="79" t="s">
        <v>483</v>
      </c>
      <c r="L5" s="79" t="s">
        <v>484</v>
      </c>
    </row>
    <row r="6" customFormat="false" ht="27.75" hidden="false" customHeight="true" outlineLevel="0" collapsed="false">
      <c r="A6" s="110" t="s">
        <v>485</v>
      </c>
      <c r="B6" s="47" t="s">
        <v>486</v>
      </c>
      <c r="C6" s="79" t="s">
        <v>484</v>
      </c>
      <c r="D6" s="79" t="s">
        <v>481</v>
      </c>
      <c r="E6" s="79" t="s">
        <v>483</v>
      </c>
      <c r="F6" s="79" t="s">
        <v>483</v>
      </c>
      <c r="G6" s="79" t="s">
        <v>482</v>
      </c>
      <c r="H6" s="79" t="s">
        <v>482</v>
      </c>
      <c r="I6" s="79" t="s">
        <v>481</v>
      </c>
      <c r="J6" s="79" t="s">
        <v>482</v>
      </c>
      <c r="K6" s="79" t="s">
        <v>483</v>
      </c>
      <c r="L6" s="79" t="s">
        <v>482</v>
      </c>
    </row>
    <row r="7" customFormat="false" ht="27.75" hidden="false" customHeight="true" outlineLevel="0" collapsed="false">
      <c r="A7" s="110" t="s">
        <v>487</v>
      </c>
      <c r="B7" s="47" t="s">
        <v>488</v>
      </c>
      <c r="C7" s="79" t="s">
        <v>484</v>
      </c>
      <c r="D7" s="79" t="s">
        <v>483</v>
      </c>
      <c r="E7" s="79" t="s">
        <v>481</v>
      </c>
      <c r="F7" s="79" t="s">
        <v>481</v>
      </c>
      <c r="G7" s="79" t="s">
        <v>481</v>
      </c>
      <c r="H7" s="79" t="s">
        <v>482</v>
      </c>
      <c r="I7" s="79" t="s">
        <v>481</v>
      </c>
      <c r="J7" s="79" t="s">
        <v>481</v>
      </c>
      <c r="K7" s="79" t="s">
        <v>481</v>
      </c>
      <c r="L7" s="79" t="s">
        <v>482</v>
      </c>
    </row>
    <row r="8" customFormat="false" ht="27.75" hidden="false" customHeight="true" outlineLevel="0" collapsed="false">
      <c r="A8" s="110" t="s">
        <v>195</v>
      </c>
      <c r="B8" s="47" t="s">
        <v>489</v>
      </c>
      <c r="C8" s="79" t="s">
        <v>484</v>
      </c>
      <c r="D8" s="79" t="s">
        <v>481</v>
      </c>
      <c r="E8" s="79" t="s">
        <v>482</v>
      </c>
      <c r="F8" s="79" t="s">
        <v>481</v>
      </c>
      <c r="G8" s="79" t="s">
        <v>482</v>
      </c>
      <c r="H8" s="79" t="s">
        <v>482</v>
      </c>
      <c r="I8" s="79" t="s">
        <v>483</v>
      </c>
      <c r="J8" s="79" t="s">
        <v>481</v>
      </c>
      <c r="K8" s="79" t="s">
        <v>482</v>
      </c>
      <c r="L8" s="79" t="s">
        <v>482</v>
      </c>
    </row>
    <row r="9" customFormat="false" ht="27.75" hidden="false" customHeight="true" outlineLevel="0" collapsed="false">
      <c r="A9" s="110" t="s">
        <v>490</v>
      </c>
      <c r="B9" s="47" t="s">
        <v>491</v>
      </c>
      <c r="C9" s="79" t="s">
        <v>484</v>
      </c>
      <c r="D9" s="79" t="s">
        <v>481</v>
      </c>
      <c r="E9" s="79" t="s">
        <v>483</v>
      </c>
      <c r="F9" s="79" t="s">
        <v>482</v>
      </c>
      <c r="G9" s="79" t="s">
        <v>482</v>
      </c>
      <c r="H9" s="79" t="s">
        <v>482</v>
      </c>
      <c r="I9" s="79" t="s">
        <v>481</v>
      </c>
      <c r="J9" s="79" t="s">
        <v>483</v>
      </c>
      <c r="K9" s="79" t="s">
        <v>482</v>
      </c>
      <c r="L9" s="79" t="s">
        <v>482</v>
      </c>
    </row>
    <row r="10" customFormat="false" ht="27.75" hidden="false" customHeight="true" outlineLevel="0" collapsed="false">
      <c r="A10" s="110" t="s">
        <v>492</v>
      </c>
      <c r="B10" s="47" t="s">
        <v>493</v>
      </c>
      <c r="C10" s="79" t="s">
        <v>484</v>
      </c>
      <c r="D10" s="79" t="s">
        <v>481</v>
      </c>
      <c r="E10" s="79" t="s">
        <v>483</v>
      </c>
      <c r="F10" s="79" t="s">
        <v>482</v>
      </c>
      <c r="G10" s="79" t="s">
        <v>482</v>
      </c>
      <c r="H10" s="79" t="s">
        <v>481</v>
      </c>
      <c r="I10" s="79" t="s">
        <v>482</v>
      </c>
      <c r="J10" s="79" t="s">
        <v>482</v>
      </c>
      <c r="K10" s="79" t="s">
        <v>483</v>
      </c>
      <c r="L10" s="79" t="s">
        <v>482</v>
      </c>
    </row>
    <row r="11" customFormat="false" ht="27.75" hidden="false" customHeight="true" outlineLevel="0" collapsed="false">
      <c r="A11" s="110" t="s">
        <v>241</v>
      </c>
      <c r="B11" s="47" t="s">
        <v>494</v>
      </c>
      <c r="C11" s="79" t="s">
        <v>484</v>
      </c>
      <c r="D11" s="79" t="s">
        <v>481</v>
      </c>
      <c r="E11" s="79" t="s">
        <v>481</v>
      </c>
      <c r="F11" s="79" t="s">
        <v>481</v>
      </c>
      <c r="G11" s="79" t="s">
        <v>483</v>
      </c>
      <c r="H11" s="79" t="s">
        <v>481</v>
      </c>
      <c r="I11" s="79" t="s">
        <v>482</v>
      </c>
      <c r="J11" s="79" t="s">
        <v>482</v>
      </c>
      <c r="K11" s="79" t="s">
        <v>482</v>
      </c>
      <c r="L11" s="79" t="s">
        <v>481</v>
      </c>
    </row>
    <row r="12" customFormat="false" ht="27.75" hidden="false" customHeight="true" outlineLevel="0" collapsed="false">
      <c r="A12" s="110" t="s">
        <v>495</v>
      </c>
      <c r="B12" s="47" t="s">
        <v>496</v>
      </c>
      <c r="C12" s="79" t="s">
        <v>484</v>
      </c>
      <c r="D12" s="79" t="s">
        <v>481</v>
      </c>
      <c r="E12" s="79" t="s">
        <v>481</v>
      </c>
      <c r="F12" s="79" t="s">
        <v>483</v>
      </c>
      <c r="G12" s="79" t="s">
        <v>482</v>
      </c>
      <c r="H12" s="79" t="s">
        <v>481</v>
      </c>
      <c r="I12" s="79" t="s">
        <v>481</v>
      </c>
      <c r="J12" s="79" t="s">
        <v>482</v>
      </c>
      <c r="K12" s="79" t="s">
        <v>482</v>
      </c>
      <c r="L12" s="79" t="s">
        <v>482</v>
      </c>
    </row>
    <row r="13" customFormat="false" ht="27.75" hidden="false" customHeight="true" outlineLevel="0" collapsed="false">
      <c r="A13" s="110" t="s">
        <v>497</v>
      </c>
      <c r="B13" s="47" t="s">
        <v>498</v>
      </c>
      <c r="C13" s="79" t="s">
        <v>484</v>
      </c>
      <c r="D13" s="79" t="s">
        <v>481</v>
      </c>
      <c r="E13" s="79" t="s">
        <v>482</v>
      </c>
      <c r="F13" s="79" t="s">
        <v>483</v>
      </c>
      <c r="G13" s="79" t="s">
        <v>482</v>
      </c>
      <c r="H13" s="79" t="s">
        <v>481</v>
      </c>
      <c r="I13" s="79" t="s">
        <v>481</v>
      </c>
      <c r="J13" s="79" t="s">
        <v>482</v>
      </c>
      <c r="K13" s="79" t="s">
        <v>483</v>
      </c>
      <c r="L13" s="79" t="s">
        <v>482</v>
      </c>
    </row>
    <row r="14" customFormat="false" ht="27.75" hidden="false" customHeight="true" outlineLevel="0" collapsed="false">
      <c r="A14" s="110" t="s">
        <v>499</v>
      </c>
      <c r="B14" s="47" t="s">
        <v>500</v>
      </c>
      <c r="C14" s="79" t="s">
        <v>484</v>
      </c>
      <c r="D14" s="79" t="s">
        <v>481</v>
      </c>
      <c r="E14" s="79" t="s">
        <v>483</v>
      </c>
      <c r="F14" s="79" t="s">
        <v>483</v>
      </c>
      <c r="G14" s="79" t="s">
        <v>482</v>
      </c>
      <c r="H14" s="79" t="s">
        <v>483</v>
      </c>
      <c r="I14" s="79" t="s">
        <v>481</v>
      </c>
      <c r="J14" s="79" t="s">
        <v>482</v>
      </c>
      <c r="K14" s="79" t="s">
        <v>482</v>
      </c>
      <c r="L14" s="79" t="s">
        <v>482</v>
      </c>
    </row>
    <row r="15" customFormat="false" ht="27.75" hidden="false" customHeight="true" outlineLevel="0" collapsed="false">
      <c r="A15" s="110" t="s">
        <v>501</v>
      </c>
      <c r="B15" s="47" t="s">
        <v>502</v>
      </c>
      <c r="C15" s="79" t="s">
        <v>484</v>
      </c>
      <c r="D15" s="79" t="s">
        <v>481</v>
      </c>
      <c r="E15" s="79" t="s">
        <v>481</v>
      </c>
      <c r="F15" s="79" t="s">
        <v>481</v>
      </c>
      <c r="G15" s="79" t="s">
        <v>482</v>
      </c>
      <c r="H15" s="79" t="s">
        <v>481</v>
      </c>
      <c r="I15" s="79" t="s">
        <v>483</v>
      </c>
      <c r="J15" s="79" t="s">
        <v>483</v>
      </c>
      <c r="K15" s="79" t="s">
        <v>482</v>
      </c>
      <c r="L15" s="79" t="s">
        <v>482</v>
      </c>
    </row>
    <row r="16" customFormat="false" ht="27.75" hidden="false" customHeight="true" outlineLevel="0" collapsed="false">
      <c r="A16" s="110" t="s">
        <v>503</v>
      </c>
      <c r="B16" s="47" t="s">
        <v>504</v>
      </c>
      <c r="C16" s="79" t="s">
        <v>484</v>
      </c>
      <c r="D16" s="79" t="s">
        <v>482</v>
      </c>
      <c r="E16" s="79" t="s">
        <v>483</v>
      </c>
      <c r="F16" s="79" t="s">
        <v>481</v>
      </c>
      <c r="G16" s="79" t="s">
        <v>481</v>
      </c>
      <c r="H16" s="79" t="s">
        <v>483</v>
      </c>
      <c r="I16" s="79" t="s">
        <v>482</v>
      </c>
      <c r="J16" s="79" t="s">
        <v>481</v>
      </c>
      <c r="K16" s="79" t="s">
        <v>481</v>
      </c>
      <c r="L16" s="79" t="s">
        <v>482</v>
      </c>
    </row>
    <row r="17" customFormat="false" ht="27.75" hidden="false" customHeight="true" outlineLevel="0" collapsed="false">
      <c r="A17" s="110" t="s">
        <v>505</v>
      </c>
      <c r="B17" s="47" t="s">
        <v>506</v>
      </c>
      <c r="C17" s="79" t="s">
        <v>484</v>
      </c>
      <c r="D17" s="79" t="s">
        <v>481</v>
      </c>
      <c r="E17" s="79" t="s">
        <v>483</v>
      </c>
      <c r="F17" s="79" t="s">
        <v>483</v>
      </c>
      <c r="G17" s="79" t="s">
        <v>483</v>
      </c>
      <c r="H17" s="79" t="s">
        <v>483</v>
      </c>
      <c r="I17" s="79" t="s">
        <v>481</v>
      </c>
      <c r="J17" s="79" t="s">
        <v>483</v>
      </c>
      <c r="K17" s="79" t="s">
        <v>482</v>
      </c>
      <c r="L17" s="79" t="s">
        <v>482</v>
      </c>
    </row>
    <row r="18" customFormat="false" ht="27.75" hidden="false" customHeight="true" outlineLevel="0" collapsed="false">
      <c r="A18" s="110" t="s">
        <v>507</v>
      </c>
      <c r="B18" s="47" t="s">
        <v>508</v>
      </c>
      <c r="C18" s="79" t="s">
        <v>480</v>
      </c>
      <c r="D18" s="79" t="s">
        <v>481</v>
      </c>
      <c r="E18" s="79" t="s">
        <v>483</v>
      </c>
      <c r="F18" s="79" t="s">
        <v>483</v>
      </c>
      <c r="G18" s="79" t="s">
        <v>483</v>
      </c>
      <c r="H18" s="79" t="s">
        <v>483</v>
      </c>
      <c r="I18" s="79" t="s">
        <v>481</v>
      </c>
      <c r="J18" s="79" t="s">
        <v>481</v>
      </c>
      <c r="K18" s="79" t="s">
        <v>483</v>
      </c>
      <c r="L18" s="79" t="s">
        <v>484</v>
      </c>
    </row>
    <row r="19" customFormat="false" ht="27.75" hidden="false" customHeight="true" outlineLevel="0" collapsed="false">
      <c r="A19" s="110" t="s">
        <v>509</v>
      </c>
      <c r="B19" s="47" t="s">
        <v>510</v>
      </c>
      <c r="C19" s="79" t="s">
        <v>484</v>
      </c>
      <c r="D19" s="79" t="s">
        <v>481</v>
      </c>
      <c r="E19" s="79" t="s">
        <v>481</v>
      </c>
      <c r="F19" s="79" t="s">
        <v>481</v>
      </c>
      <c r="G19" s="79" t="s">
        <v>482</v>
      </c>
      <c r="H19" s="79" t="s">
        <v>481</v>
      </c>
      <c r="I19" s="79" t="s">
        <v>481</v>
      </c>
      <c r="J19" s="79" t="s">
        <v>483</v>
      </c>
      <c r="K19" s="79" t="s">
        <v>482</v>
      </c>
      <c r="L19" s="79" t="s">
        <v>482</v>
      </c>
    </row>
    <row r="20" customFormat="false" ht="27.75" hidden="false" customHeight="true" outlineLevel="0" collapsed="false">
      <c r="A20" s="110" t="s">
        <v>511</v>
      </c>
      <c r="B20" s="47" t="s">
        <v>512</v>
      </c>
      <c r="C20" s="79" t="s">
        <v>480</v>
      </c>
      <c r="D20" s="79" t="s">
        <v>483</v>
      </c>
      <c r="E20" s="79" t="s">
        <v>481</v>
      </c>
      <c r="F20" s="79" t="s">
        <v>481</v>
      </c>
      <c r="G20" s="79" t="s">
        <v>481</v>
      </c>
      <c r="H20" s="79" t="s">
        <v>481</v>
      </c>
      <c r="I20" s="79" t="s">
        <v>481</v>
      </c>
      <c r="J20" s="79" t="s">
        <v>481</v>
      </c>
      <c r="K20" s="79" t="s">
        <v>481</v>
      </c>
      <c r="L20" s="79" t="s">
        <v>484</v>
      </c>
    </row>
  </sheetData>
  <conditionalFormatting sqref="C5:L20">
    <cfRule type="cellIs" priority="2" operator="equal" aboveAverage="0" equalAverage="0" bottom="0" percent="0" rank="0" text="" dxfId="30">
      <formula>"A/R"</formula>
    </cfRule>
    <cfRule type="cellIs" priority="3" operator="equal" aboveAverage="0" equalAverage="0" bottom="0" percent="0" rank="0" text="" dxfId="31">
      <formula>"A"</formula>
    </cfRule>
    <cfRule type="cellIs" priority="4" operator="equal" aboveAverage="0" equalAverage="0" bottom="0" percent="0" rank="0" text="" dxfId="32">
      <formula>"R"</formula>
    </cfRule>
    <cfRule type="cellIs" priority="5" operator="equal" aboveAverage="0" equalAverage="0" bottom="0" percent="0" rank="0" text="" dxfId="10">
      <formula>"C"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4D4E"/>
    <pageSetUpPr fitToPage="false"/>
  </sheetPr>
  <dimension ref="A1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3" min="3" style="0" width="38"/>
    <col collapsed="false" customWidth="true" hidden="false" outlineLevel="0" max="7" min="4" style="0" width="10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16"/>
  </cols>
  <sheetData>
    <row r="1" customFormat="false" ht="25.5" hidden="false" customHeight="true" outlineLevel="0" collapsed="false">
      <c r="A1" s="43" t="s">
        <v>513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4" t="s">
        <v>514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44" t="s">
        <v>515</v>
      </c>
      <c r="B4" s="44" t="s">
        <v>516</v>
      </c>
      <c r="C4" s="44" t="s">
        <v>517</v>
      </c>
      <c r="D4" s="44" t="s">
        <v>518</v>
      </c>
      <c r="E4" s="44" t="s">
        <v>45</v>
      </c>
      <c r="F4" s="44" t="s">
        <v>519</v>
      </c>
      <c r="G4" s="44" t="s">
        <v>520</v>
      </c>
      <c r="H4" s="44" t="s">
        <v>521</v>
      </c>
      <c r="I4" s="44" t="s">
        <v>522</v>
      </c>
      <c r="J4" s="44" t="s">
        <v>523</v>
      </c>
      <c r="K4" s="44" t="s">
        <v>524</v>
      </c>
    </row>
    <row r="5" customFormat="false" ht="30" hidden="false" customHeight="true" outlineLevel="0" collapsed="false">
      <c r="A5" s="45" t="s">
        <v>525</v>
      </c>
      <c r="B5" s="47" t="s">
        <v>526</v>
      </c>
      <c r="C5" s="47" t="s">
        <v>527</v>
      </c>
      <c r="D5" s="79" t="s">
        <v>528</v>
      </c>
      <c r="E5" s="83" t="n">
        <v>0.72</v>
      </c>
      <c r="F5" s="83" t="n">
        <v>0.9</v>
      </c>
      <c r="G5" s="83" t="n">
        <v>0.87</v>
      </c>
      <c r="H5" s="82" t="n">
        <f aca="false">MIN(1.2,IF(D5="Lower",IF(G5&lt;=F5,1,F5/G5),IF(F5=0,1,G5/F5)))</f>
        <v>0.966666666666667</v>
      </c>
      <c r="I5" s="79" t="str">
        <f aca="false">IF(H5&gt;=1,"GREEN",IF(H5&gt;=0.9,"AMBER","RED"))</f>
        <v>AMBER</v>
      </c>
      <c r="J5" s="79" t="str">
        <f aca="false">IF(D5="Lower",IF(G5&lt;E5,"▲ Improving",IF(G5=E5,"► Stable","▼ Worse")),IF(G5&gt;E5,"▲ Improving",IF(G5=E5,"► Stable","▼ Worse")))</f>
        <v>▲ Improving</v>
      </c>
      <c r="K5" s="47" t="s">
        <v>458</v>
      </c>
    </row>
    <row r="6" customFormat="false" ht="30" hidden="false" customHeight="true" outlineLevel="0" collapsed="false">
      <c r="A6" s="45" t="s">
        <v>529</v>
      </c>
      <c r="B6" s="47" t="s">
        <v>530</v>
      </c>
      <c r="C6" s="47" t="s">
        <v>531</v>
      </c>
      <c r="D6" s="79" t="s">
        <v>528</v>
      </c>
      <c r="E6" s="83" t="n">
        <v>0.65</v>
      </c>
      <c r="F6" s="83" t="n">
        <v>0.95</v>
      </c>
      <c r="G6" s="83" t="n">
        <v>0.91</v>
      </c>
      <c r="H6" s="82" t="n">
        <f aca="false">MIN(1.2,IF(D6="Lower",IF(G6&lt;=F6,1,F6/G6),IF(F6=0,1,G6/F6)))</f>
        <v>0.957894736842105</v>
      </c>
      <c r="I6" s="79" t="str">
        <f aca="false">IF(H6&gt;=1,"GREEN",IF(H6&gt;=0.9,"AMBER","RED"))</f>
        <v>AMBER</v>
      </c>
      <c r="J6" s="79" t="str">
        <f aca="false">IF(D6="Lower",IF(G6&lt;E6,"▲ Improving",IF(G6=E6,"► Stable","▼ Worse")),IF(G6&gt;E6,"▲ Improving",IF(G6=E6,"► Stable","▼ Worse")))</f>
        <v>▲ Improving</v>
      </c>
      <c r="K6" s="47" t="s">
        <v>455</v>
      </c>
    </row>
    <row r="7" customFormat="false" ht="30" hidden="false" customHeight="true" outlineLevel="0" collapsed="false">
      <c r="A7" s="45" t="s">
        <v>532</v>
      </c>
      <c r="B7" s="47" t="s">
        <v>533</v>
      </c>
      <c r="C7" s="47" t="s">
        <v>534</v>
      </c>
      <c r="D7" s="79" t="s">
        <v>528</v>
      </c>
      <c r="E7" s="83" t="n">
        <v>0.64</v>
      </c>
      <c r="F7" s="83" t="n">
        <v>0.85</v>
      </c>
      <c r="G7" s="83" t="n">
        <v>0.88</v>
      </c>
      <c r="H7" s="82" t="n">
        <f aca="false">MIN(1.2,IF(D7="Lower",IF(G7&lt;=F7,1,F7/G7),IF(F7=0,1,G7/F7)))</f>
        <v>1.03529411764706</v>
      </c>
      <c r="I7" s="79" t="str">
        <f aca="false">IF(H7&gt;=1,"GREEN",IF(H7&gt;=0.9,"AMBER","RED"))</f>
        <v>GREEN</v>
      </c>
      <c r="J7" s="79" t="str">
        <f aca="false">IF(D7="Lower",IF(G7&lt;E7,"▲ Improving",IF(G7=E7,"► Stable","▼ Worse")),IF(G7&gt;E7,"▲ Improving",IF(G7=E7,"► Stable","▼ Worse")))</f>
        <v>▲ Improving</v>
      </c>
      <c r="K7" s="47" t="s">
        <v>455</v>
      </c>
    </row>
    <row r="8" customFormat="false" ht="30" hidden="false" customHeight="true" outlineLevel="0" collapsed="false">
      <c r="A8" s="45" t="s">
        <v>535</v>
      </c>
      <c r="B8" s="47" t="s">
        <v>536</v>
      </c>
      <c r="C8" s="47" t="s">
        <v>537</v>
      </c>
      <c r="D8" s="79" t="s">
        <v>528</v>
      </c>
      <c r="E8" s="111" t="n">
        <v>0.9</v>
      </c>
      <c r="F8" s="111" t="n">
        <v>0.98</v>
      </c>
      <c r="G8" s="111" t="n">
        <v>0.955</v>
      </c>
      <c r="H8" s="82" t="n">
        <f aca="false">MIN(1.2,IF(D8="Lower",IF(G8&lt;=F8,1,F8/G8),IF(F8=0,1,G8/F8)))</f>
        <v>0.974489795918367</v>
      </c>
      <c r="I8" s="79" t="str">
        <f aca="false">IF(H8&gt;=1,"GREEN",IF(H8&gt;=0.9,"AMBER","RED"))</f>
        <v>AMBER</v>
      </c>
      <c r="J8" s="79" t="str">
        <f aca="false">IF(D8="Lower",IF(G8&lt;E8,"▲ Improving",IF(G8=E8,"► Stable","▼ Worse")),IF(G8&gt;E8,"▲ Improving",IF(G8=E8,"► Stable","▼ Worse")))</f>
        <v>▲ Improving</v>
      </c>
      <c r="K8" s="47" t="s">
        <v>461</v>
      </c>
    </row>
    <row r="9" customFormat="false" ht="30" hidden="false" customHeight="true" outlineLevel="0" collapsed="false">
      <c r="A9" s="45" t="s">
        <v>538</v>
      </c>
      <c r="B9" s="47" t="s">
        <v>539</v>
      </c>
      <c r="C9" s="47" t="s">
        <v>540</v>
      </c>
      <c r="D9" s="79" t="s">
        <v>541</v>
      </c>
      <c r="E9" s="102" t="n">
        <v>0</v>
      </c>
      <c r="F9" s="102" t="n">
        <v>0</v>
      </c>
      <c r="G9" s="102" t="n">
        <v>0</v>
      </c>
      <c r="H9" s="82" t="n">
        <f aca="false">MIN(1.2,IF(D9="Lower",IF(G9&lt;=F9,1,F9/G9),IF(F9=0,1,G9/F9)))</f>
        <v>1</v>
      </c>
      <c r="I9" s="79" t="str">
        <f aca="false">IF(H9&gt;=1,"GREEN",IF(H9&gt;=0.9,"AMBER","RED"))</f>
        <v>GREEN</v>
      </c>
      <c r="J9" s="79" t="str">
        <f aca="false">IF(D9="Lower",IF(G9&lt;E9,"▲ Improving",IF(G9=E9,"► Stable","▼ Worse")),IF(G9&gt;E9,"▲ Improving",IF(G9=E9,"► Stable","▼ Worse")))</f>
        <v>► Stable</v>
      </c>
      <c r="K9" s="47" t="s">
        <v>433</v>
      </c>
    </row>
    <row r="10" customFormat="false" ht="30" hidden="false" customHeight="true" outlineLevel="0" collapsed="false">
      <c r="A10" s="45" t="s">
        <v>542</v>
      </c>
      <c r="B10" s="47" t="s">
        <v>543</v>
      </c>
      <c r="C10" s="47" t="s">
        <v>544</v>
      </c>
      <c r="D10" s="79" t="s">
        <v>541</v>
      </c>
      <c r="E10" s="112" t="n">
        <v>11.2</v>
      </c>
      <c r="F10" s="112" t="n">
        <v>8</v>
      </c>
      <c r="G10" s="112" t="n">
        <v>6.4</v>
      </c>
      <c r="H10" s="82" t="n">
        <f aca="false">MIN(1.2,IF(D10="Lower",IF(G10&lt;=F10,1,F10/G10),IF(F10=0,1,G10/F10)))</f>
        <v>1</v>
      </c>
      <c r="I10" s="79" t="str">
        <f aca="false">IF(H10&gt;=1,"GREEN",IF(H10&gt;=0.9,"AMBER","RED"))</f>
        <v>GREEN</v>
      </c>
      <c r="J10" s="79" t="str">
        <f aca="false">IF(D10="Lower",IF(G10&lt;E10,"▲ Improving",IF(G10=E10,"► Stable","▼ Worse")),IF(G10&gt;E10,"▲ Improving",IF(G10=E10,"► Stable","▼ Worse")))</f>
        <v>▲ Improving</v>
      </c>
      <c r="K10" s="47" t="s">
        <v>435</v>
      </c>
    </row>
    <row r="11" customFormat="false" ht="30" hidden="false" customHeight="true" outlineLevel="0" collapsed="false">
      <c r="A11" s="45" t="s">
        <v>545</v>
      </c>
      <c r="B11" s="47" t="s">
        <v>546</v>
      </c>
      <c r="C11" s="47" t="s">
        <v>547</v>
      </c>
      <c r="D11" s="79" t="s">
        <v>528</v>
      </c>
      <c r="E11" s="112" t="n">
        <v>3.1</v>
      </c>
      <c r="F11" s="112" t="n">
        <v>4</v>
      </c>
      <c r="G11" s="112" t="n">
        <v>4.2</v>
      </c>
      <c r="H11" s="82" t="n">
        <f aca="false">MIN(1.2,IF(D11="Lower",IF(G11&lt;=F11,1,F11/G11),IF(F11=0,1,G11/F11)))</f>
        <v>1.05</v>
      </c>
      <c r="I11" s="79" t="str">
        <f aca="false">IF(H11&gt;=1,"GREEN",IF(H11&gt;=0.9,"AMBER","RED"))</f>
        <v>GREEN</v>
      </c>
      <c r="J11" s="79" t="str">
        <f aca="false">IF(D11="Lower",IF(G11&lt;E11,"▲ Improving",IF(G11=E11,"► Stable","▼ Worse")),IF(G11&gt;E11,"▲ Improving",IF(G11=E11,"► Stable","▼ Worse")))</f>
        <v>▲ Improving</v>
      </c>
      <c r="K11" s="47" t="s">
        <v>548</v>
      </c>
    </row>
    <row r="12" customFormat="false" ht="30" hidden="false" customHeight="true" outlineLevel="0" collapsed="false">
      <c r="A12" s="45" t="s">
        <v>549</v>
      </c>
      <c r="B12" s="47" t="s">
        <v>550</v>
      </c>
      <c r="C12" s="47" t="s">
        <v>551</v>
      </c>
      <c r="D12" s="79" t="s">
        <v>528</v>
      </c>
      <c r="E12" s="83" t="n">
        <v>0</v>
      </c>
      <c r="F12" s="83" t="n">
        <v>0.4</v>
      </c>
      <c r="G12" s="83" t="n">
        <v>0.32</v>
      </c>
      <c r="H12" s="82" t="n">
        <f aca="false">MIN(1.2,IF(D12="Lower",IF(G12&lt;=F12,1,F12/G12),IF(F12=0,1,G12/F12)))</f>
        <v>0.8</v>
      </c>
      <c r="I12" s="79" t="str">
        <f aca="false">IF(H12&gt;=1,"GREEN",IF(H12&gt;=0.9,"AMBER","RED"))</f>
        <v>RED</v>
      </c>
      <c r="J12" s="79" t="str">
        <f aca="false">IF(D12="Lower",IF(G12&lt;E12,"▲ Improving",IF(G12=E12,"► Stable","▼ Worse")),IF(G12&gt;E12,"▲ Improving",IF(G12=E12,"► Stable","▼ Worse")))</f>
        <v>▲ Improving</v>
      </c>
      <c r="K12" s="47" t="s">
        <v>548</v>
      </c>
    </row>
  </sheetData>
  <conditionalFormatting sqref="I5:I12">
    <cfRule type="cellIs" priority="2" operator="equal" aboveAverage="0" equalAverage="0" bottom="0" percent="0" rank="0" text="" dxfId="8">
      <formula>"GREEN"</formula>
    </cfRule>
    <cfRule type="cellIs" priority="3" operator="equal" aboveAverage="0" equalAverage="0" bottom="0" percent="0" rank="0" text="" dxfId="11">
      <formula>"AMBER"</formula>
    </cfRule>
    <cfRule type="cellIs" priority="4" operator="equal" aboveAverage="0" equalAverage="0" bottom="0" percent="0" rank="0" text="" dxfId="9">
      <formula>"RED"</formula>
    </cfRule>
  </conditionalFormatting>
  <conditionalFormatting sqref="H5:H12">
    <cfRule type="dataBar" priority="5">
      <dataBar showValue="1" minLength="10" maxLength="90">
        <cfvo type="num" val="0"/>
        <cfvo type="num" val="1.2"/>
        <color rgb="FFE60000"/>
      </dataBar>
      <extLst>
        <ext xmlns:x14="http://schemas.microsoft.com/office/spreadsheetml/2009/9/main" uri="{B025F937-C7B1-47D3-B67F-A62EFF666E3E}">
          <x14:id>{6BF1F7F8-D9E7-457A-A796-D7196BF97EBA}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F1F7F8-D9E7-457A-A796-D7196BF97EBA}">
            <x14:dataBar minLength="10" maxLength="90" axisPosition="none" gradient="true">
              <x14:cfvo type="num">
                <xm:f>0</xm:f>
              </x14:cfvo>
              <x14:cfvo type="num">
                <xm:f>1.2</xm:f>
              </x14:cfvo>
              <x14:negativeFillColor rgb="FFE60000"/>
              <x14:axisColor rgb="FF000000"/>
            </x14:dataBar>
          </x14:cfRule>
          <xm:sqref>H5:H12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4D4E"/>
    <pageSetUpPr fitToPage="false"/>
  </sheetPr>
  <dimension ref="A1:K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50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7"/>
    <col collapsed="false" customWidth="true" hidden="false" outlineLevel="0" max="8" min="8" style="0" width="9"/>
    <col collapsed="false" customWidth="true" hidden="false" outlineLevel="0" max="9" min="9" style="0" width="50"/>
    <col collapsed="false" customWidth="true" hidden="false" outlineLevel="0" max="10" min="10" style="0" width="16"/>
    <col collapsed="false" customWidth="true" hidden="false" outlineLevel="0" max="11" min="11" style="0" width="12"/>
  </cols>
  <sheetData>
    <row r="1" customFormat="false" ht="25.5" hidden="false" customHeight="true" outlineLevel="0" collapsed="false">
      <c r="A1" s="43" t="s">
        <v>552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4" t="s">
        <v>553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5.05" hidden="false" customHeight="false" outlineLevel="0" collapsed="false">
      <c r="A4" s="44" t="s">
        <v>43</v>
      </c>
      <c r="B4" s="44" t="s">
        <v>554</v>
      </c>
      <c r="C4" s="44" t="s">
        <v>555</v>
      </c>
      <c r="D4" s="44" t="s">
        <v>556</v>
      </c>
      <c r="E4" s="44" t="s">
        <v>557</v>
      </c>
      <c r="F4" s="44" t="s">
        <v>558</v>
      </c>
      <c r="G4" s="44" t="s">
        <v>559</v>
      </c>
      <c r="H4" s="44" t="s">
        <v>560</v>
      </c>
      <c r="I4" s="44" t="s">
        <v>561</v>
      </c>
      <c r="J4" s="44" t="s">
        <v>524</v>
      </c>
      <c r="K4" s="44" t="s">
        <v>47</v>
      </c>
    </row>
    <row r="5" customFormat="false" ht="36" hidden="false" customHeight="true" outlineLevel="0" collapsed="false">
      <c r="A5" s="79" t="s">
        <v>562</v>
      </c>
      <c r="B5" s="79" t="s">
        <v>563</v>
      </c>
      <c r="C5" s="47" t="s">
        <v>564</v>
      </c>
      <c r="D5" s="47" t="s">
        <v>565</v>
      </c>
      <c r="E5" s="80" t="n">
        <v>4</v>
      </c>
      <c r="F5" s="80" t="n">
        <v>5</v>
      </c>
      <c r="G5" s="79" t="n">
        <f aca="false">IF(AND(ISNUMBER(E5),ISNUMBER(F5)),E5*F5,"")</f>
        <v>20</v>
      </c>
      <c r="H5" s="79" t="str">
        <f aca="false">IF(G5="","",IF(G5&gt;=15,"High",IF(G5&gt;=8,"Medium","Low")))</f>
        <v>High</v>
      </c>
      <c r="I5" s="47" t="s">
        <v>566</v>
      </c>
      <c r="J5" s="47" t="s">
        <v>450</v>
      </c>
      <c r="K5" s="80" t="s">
        <v>567</v>
      </c>
    </row>
    <row r="6" customFormat="false" ht="36" hidden="false" customHeight="true" outlineLevel="0" collapsed="false">
      <c r="A6" s="79" t="s">
        <v>568</v>
      </c>
      <c r="B6" s="79" t="s">
        <v>563</v>
      </c>
      <c r="C6" s="47" t="s">
        <v>569</v>
      </c>
      <c r="D6" s="47" t="s">
        <v>570</v>
      </c>
      <c r="E6" s="80" t="n">
        <v>2</v>
      </c>
      <c r="F6" s="80" t="n">
        <v>4</v>
      </c>
      <c r="G6" s="79" t="n">
        <f aca="false">IF(AND(ISNUMBER(E6),ISNUMBER(F6)),E6*F6,"")</f>
        <v>8</v>
      </c>
      <c r="H6" s="79" t="str">
        <f aca="false">IF(G6="","",IF(G6&gt;=15,"High",IF(G6&gt;=8,"Medium","Low")))</f>
        <v>Medium</v>
      </c>
      <c r="I6" s="47" t="s">
        <v>571</v>
      </c>
      <c r="J6" s="47" t="s">
        <v>458</v>
      </c>
      <c r="K6" s="80" t="s">
        <v>572</v>
      </c>
    </row>
    <row r="7" customFormat="false" ht="36" hidden="false" customHeight="true" outlineLevel="0" collapsed="false">
      <c r="A7" s="79" t="s">
        <v>573</v>
      </c>
      <c r="B7" s="79" t="s">
        <v>563</v>
      </c>
      <c r="C7" s="47" t="s">
        <v>574</v>
      </c>
      <c r="D7" s="47" t="s">
        <v>575</v>
      </c>
      <c r="E7" s="80" t="n">
        <v>3</v>
      </c>
      <c r="F7" s="80" t="n">
        <v>4</v>
      </c>
      <c r="G7" s="79" t="n">
        <f aca="false">IF(AND(ISNUMBER(E7),ISNUMBER(F7)),E7*F7,"")</f>
        <v>12</v>
      </c>
      <c r="H7" s="79" t="str">
        <f aca="false">IF(G7="","",IF(G7&gt;=15,"High",IF(G7&gt;=8,"Medium","Low")))</f>
        <v>Medium</v>
      </c>
      <c r="I7" s="47" t="s">
        <v>576</v>
      </c>
      <c r="J7" s="47" t="s">
        <v>455</v>
      </c>
      <c r="K7" s="80" t="s">
        <v>577</v>
      </c>
    </row>
    <row r="8" customFormat="false" ht="36" hidden="false" customHeight="true" outlineLevel="0" collapsed="false">
      <c r="A8" s="79" t="s">
        <v>578</v>
      </c>
      <c r="B8" s="79" t="s">
        <v>563</v>
      </c>
      <c r="C8" s="47" t="s">
        <v>579</v>
      </c>
      <c r="D8" s="47" t="s">
        <v>580</v>
      </c>
      <c r="E8" s="80" t="n">
        <v>2</v>
      </c>
      <c r="F8" s="80" t="n">
        <v>5</v>
      </c>
      <c r="G8" s="79" t="n">
        <f aca="false">IF(AND(ISNUMBER(E8),ISNUMBER(F8)),E8*F8,"")</f>
        <v>10</v>
      </c>
      <c r="H8" s="79" t="str">
        <f aca="false">IF(G8="","",IF(G8&gt;=15,"High",IF(G8&gt;=8,"Medium","Low")))</f>
        <v>Medium</v>
      </c>
      <c r="I8" s="47" t="s">
        <v>581</v>
      </c>
      <c r="J8" s="47" t="s">
        <v>433</v>
      </c>
      <c r="K8" s="80" t="s">
        <v>577</v>
      </c>
    </row>
    <row r="9" customFormat="false" ht="36" hidden="false" customHeight="true" outlineLevel="0" collapsed="false">
      <c r="A9" s="79" t="s">
        <v>582</v>
      </c>
      <c r="B9" s="79" t="s">
        <v>563</v>
      </c>
      <c r="C9" s="47" t="s">
        <v>583</v>
      </c>
      <c r="D9" s="47" t="s">
        <v>580</v>
      </c>
      <c r="E9" s="80" t="n">
        <v>3</v>
      </c>
      <c r="F9" s="80" t="n">
        <v>5</v>
      </c>
      <c r="G9" s="79" t="n">
        <f aca="false">IF(AND(ISNUMBER(E9),ISNUMBER(F9)),E9*F9,"")</f>
        <v>15</v>
      </c>
      <c r="H9" s="79" t="str">
        <f aca="false">IF(G9="","",IF(G9&gt;=15,"High",IF(G9&gt;=8,"Medium","Low")))</f>
        <v>High</v>
      </c>
      <c r="I9" s="47" t="s">
        <v>584</v>
      </c>
      <c r="J9" s="47" t="s">
        <v>433</v>
      </c>
      <c r="K9" s="80" t="s">
        <v>567</v>
      </c>
    </row>
    <row r="10" customFormat="false" ht="36" hidden="false" customHeight="true" outlineLevel="0" collapsed="false">
      <c r="A10" s="79" t="s">
        <v>585</v>
      </c>
      <c r="B10" s="79" t="s">
        <v>563</v>
      </c>
      <c r="C10" s="47" t="s">
        <v>586</v>
      </c>
      <c r="D10" s="47" t="s">
        <v>587</v>
      </c>
      <c r="E10" s="80" t="n">
        <v>3</v>
      </c>
      <c r="F10" s="80" t="n">
        <v>4</v>
      </c>
      <c r="G10" s="79" t="n">
        <f aca="false">IF(AND(ISNUMBER(E10),ISNUMBER(F10)),E10*F10,"")</f>
        <v>12</v>
      </c>
      <c r="H10" s="79" t="str">
        <f aca="false">IF(G10="","",IF(G10&gt;=15,"High",IF(G10&gt;=8,"Medium","Low")))</f>
        <v>Medium</v>
      </c>
      <c r="I10" s="47" t="s">
        <v>588</v>
      </c>
      <c r="J10" s="47" t="s">
        <v>458</v>
      </c>
      <c r="K10" s="80" t="s">
        <v>567</v>
      </c>
    </row>
    <row r="11" customFormat="false" ht="36" hidden="false" customHeight="true" outlineLevel="0" collapsed="false">
      <c r="A11" s="79" t="s">
        <v>589</v>
      </c>
      <c r="B11" s="79" t="s">
        <v>563</v>
      </c>
      <c r="C11" s="47" t="s">
        <v>590</v>
      </c>
      <c r="D11" s="47" t="s">
        <v>591</v>
      </c>
      <c r="E11" s="80" t="n">
        <v>4</v>
      </c>
      <c r="F11" s="80" t="n">
        <v>3</v>
      </c>
      <c r="G11" s="79" t="n">
        <f aca="false">IF(AND(ISNUMBER(E11),ISNUMBER(F11)),E11*F11,"")</f>
        <v>12</v>
      </c>
      <c r="H11" s="79" t="str">
        <f aca="false">IF(G11="","",IF(G11&gt;=15,"High",IF(G11&gt;=8,"Medium","Low")))</f>
        <v>Medium</v>
      </c>
      <c r="I11" s="47" t="s">
        <v>592</v>
      </c>
      <c r="J11" s="47" t="s">
        <v>450</v>
      </c>
      <c r="K11" s="80" t="s">
        <v>567</v>
      </c>
    </row>
    <row r="12" customFormat="false" ht="36" hidden="false" customHeight="true" outlineLevel="0" collapsed="false">
      <c r="A12" s="79" t="s">
        <v>593</v>
      </c>
      <c r="B12" s="79" t="s">
        <v>563</v>
      </c>
      <c r="C12" s="47" t="s">
        <v>594</v>
      </c>
      <c r="D12" s="47" t="s">
        <v>595</v>
      </c>
      <c r="E12" s="80" t="n">
        <v>3</v>
      </c>
      <c r="F12" s="80" t="n">
        <v>4</v>
      </c>
      <c r="G12" s="79" t="n">
        <f aca="false">IF(AND(ISNUMBER(E12),ISNUMBER(F12)),E12*F12,"")</f>
        <v>12</v>
      </c>
      <c r="H12" s="79" t="str">
        <f aca="false">IF(G12="","",IF(G12&gt;=15,"High",IF(G12&gt;=8,"Medium","Low")))</f>
        <v>Medium</v>
      </c>
      <c r="I12" s="47" t="s">
        <v>596</v>
      </c>
      <c r="J12" s="47" t="s">
        <v>548</v>
      </c>
      <c r="K12" s="80" t="s">
        <v>577</v>
      </c>
    </row>
    <row r="13" customFormat="false" ht="36" hidden="false" customHeight="true" outlineLevel="0" collapsed="false">
      <c r="A13" s="79" t="s">
        <v>597</v>
      </c>
      <c r="B13" s="79" t="s">
        <v>563</v>
      </c>
      <c r="C13" s="47" t="s">
        <v>598</v>
      </c>
      <c r="D13" s="47" t="s">
        <v>599</v>
      </c>
      <c r="E13" s="80" t="n">
        <v>2</v>
      </c>
      <c r="F13" s="80" t="n">
        <v>3</v>
      </c>
      <c r="G13" s="79" t="n">
        <f aca="false">IF(AND(ISNUMBER(E13),ISNUMBER(F13)),E13*F13,"")</f>
        <v>6</v>
      </c>
      <c r="H13" s="79" t="str">
        <f aca="false">IF(G13="","",IF(G13&gt;=15,"High",IF(G13&gt;=8,"Medium","Low")))</f>
        <v>Low</v>
      </c>
      <c r="I13" s="47" t="s">
        <v>600</v>
      </c>
      <c r="J13" s="47" t="s">
        <v>435</v>
      </c>
      <c r="K13" s="80" t="s">
        <v>572</v>
      </c>
    </row>
    <row r="14" customFormat="false" ht="36" hidden="false" customHeight="true" outlineLevel="0" collapsed="false">
      <c r="A14" s="79" t="s">
        <v>601</v>
      </c>
      <c r="B14" s="79" t="s">
        <v>563</v>
      </c>
      <c r="C14" s="47" t="s">
        <v>602</v>
      </c>
      <c r="D14" s="47" t="s">
        <v>603</v>
      </c>
      <c r="E14" s="80" t="n">
        <v>2</v>
      </c>
      <c r="F14" s="80" t="n">
        <v>3</v>
      </c>
      <c r="G14" s="79" t="n">
        <f aca="false">IF(AND(ISNUMBER(E14),ISNUMBER(F14)),E14*F14,"")</f>
        <v>6</v>
      </c>
      <c r="H14" s="79" t="str">
        <f aca="false">IF(G14="","",IF(G14&gt;=15,"High",IF(G14&gt;=8,"Medium","Low")))</f>
        <v>Low</v>
      </c>
      <c r="I14" s="47" t="s">
        <v>604</v>
      </c>
      <c r="J14" s="47" t="s">
        <v>548</v>
      </c>
      <c r="K14" s="80" t="s">
        <v>567</v>
      </c>
    </row>
    <row r="15" customFormat="false" ht="36" hidden="false" customHeight="true" outlineLevel="0" collapsed="false">
      <c r="A15" s="79" t="s">
        <v>605</v>
      </c>
      <c r="B15" s="79" t="s">
        <v>606</v>
      </c>
      <c r="C15" s="47" t="s">
        <v>607</v>
      </c>
      <c r="D15" s="47" t="s">
        <v>565</v>
      </c>
      <c r="E15" s="80" t="n">
        <v>5</v>
      </c>
      <c r="F15" s="80" t="n">
        <v>4</v>
      </c>
      <c r="G15" s="79" t="n">
        <f aca="false">IF(AND(ISNUMBER(E15),ISNUMBER(F15)),E15*F15,"")</f>
        <v>20</v>
      </c>
      <c r="H15" s="79" t="str">
        <f aca="false">IF(G15="","",IF(G15&gt;=15,"High",IF(G15&gt;=8,"Medium","Low")))</f>
        <v>High</v>
      </c>
      <c r="I15" s="47" t="s">
        <v>608</v>
      </c>
      <c r="J15" s="47" t="s">
        <v>450</v>
      </c>
      <c r="K15" s="80" t="s">
        <v>567</v>
      </c>
    </row>
    <row r="16" customFormat="false" ht="36" hidden="false" customHeight="true" outlineLevel="0" collapsed="false">
      <c r="A16" s="79" t="s">
        <v>609</v>
      </c>
      <c r="B16" s="79" t="s">
        <v>606</v>
      </c>
      <c r="C16" s="47" t="s">
        <v>610</v>
      </c>
      <c r="D16" s="47" t="s">
        <v>570</v>
      </c>
      <c r="E16" s="80" t="n">
        <v>4</v>
      </c>
      <c r="F16" s="80" t="n">
        <v>3</v>
      </c>
      <c r="G16" s="79" t="n">
        <f aca="false">IF(AND(ISNUMBER(E16),ISNUMBER(F16)),E16*F16,"")</f>
        <v>12</v>
      </c>
      <c r="H16" s="79" t="str">
        <f aca="false">IF(G16="","",IF(G16&gt;=15,"High",IF(G16&gt;=8,"Medium","Low")))</f>
        <v>Medium</v>
      </c>
      <c r="I16" s="47" t="s">
        <v>611</v>
      </c>
      <c r="J16" s="47" t="s">
        <v>435</v>
      </c>
      <c r="K16" s="80" t="s">
        <v>567</v>
      </c>
    </row>
    <row r="17" customFormat="false" ht="36" hidden="false" customHeight="true" outlineLevel="0" collapsed="false">
      <c r="A17" s="79" t="s">
        <v>612</v>
      </c>
      <c r="B17" s="79" t="s">
        <v>606</v>
      </c>
      <c r="C17" s="47" t="s">
        <v>613</v>
      </c>
      <c r="D17" s="47" t="s">
        <v>565</v>
      </c>
      <c r="E17" s="80" t="n">
        <v>5</v>
      </c>
      <c r="F17" s="80" t="n">
        <v>2</v>
      </c>
      <c r="G17" s="79" t="n">
        <f aca="false">IF(AND(ISNUMBER(E17),ISNUMBER(F17)),E17*F17,"")</f>
        <v>10</v>
      </c>
      <c r="H17" s="79" t="str">
        <f aca="false">IF(G17="","",IF(G17&gt;=15,"High",IF(G17&gt;=8,"Medium","Low")))</f>
        <v>Medium</v>
      </c>
      <c r="I17" s="47" t="s">
        <v>614</v>
      </c>
      <c r="J17" s="47" t="s">
        <v>461</v>
      </c>
      <c r="K17" s="80" t="s">
        <v>577</v>
      </c>
    </row>
    <row r="18" customFormat="false" ht="36" hidden="false" customHeight="true" outlineLevel="0" collapsed="false">
      <c r="A18" s="79" t="s">
        <v>615</v>
      </c>
      <c r="B18" s="79" t="s">
        <v>616</v>
      </c>
      <c r="C18" s="47" t="s">
        <v>617</v>
      </c>
      <c r="D18" s="47" t="s">
        <v>595</v>
      </c>
      <c r="E18" s="80"/>
      <c r="F18" s="80"/>
      <c r="G18" s="79" t="str">
        <f aca="false">IF(AND(ISNUMBER(E18),ISNUMBER(F18)),E18*F18,"")</f>
        <v/>
      </c>
      <c r="H18" s="79" t="str">
        <f aca="false">IF(G18="","",IF(G18&gt;=15,"High",IF(G18&gt;=8,"Medium","Low")))</f>
        <v/>
      </c>
      <c r="I18" s="47" t="s">
        <v>618</v>
      </c>
      <c r="J18" s="47" t="s">
        <v>548</v>
      </c>
      <c r="K18" s="80" t="s">
        <v>619</v>
      </c>
    </row>
    <row r="19" customFormat="false" ht="36" hidden="false" customHeight="true" outlineLevel="0" collapsed="false">
      <c r="A19" s="79" t="s">
        <v>620</v>
      </c>
      <c r="B19" s="79" t="s">
        <v>616</v>
      </c>
      <c r="C19" s="47" t="s">
        <v>621</v>
      </c>
      <c r="D19" s="47" t="s">
        <v>595</v>
      </c>
      <c r="E19" s="80"/>
      <c r="F19" s="80"/>
      <c r="G19" s="79" t="str">
        <f aca="false">IF(AND(ISNUMBER(E19),ISNUMBER(F19)),E19*F19,"")</f>
        <v/>
      </c>
      <c r="H19" s="79" t="str">
        <f aca="false">IF(G19="","",IF(G19&gt;=15,"High",IF(G19&gt;=8,"Medium","Low")))</f>
        <v/>
      </c>
      <c r="I19" s="47" t="s">
        <v>622</v>
      </c>
      <c r="J19" s="47" t="s">
        <v>548</v>
      </c>
      <c r="K19" s="80" t="s">
        <v>619</v>
      </c>
    </row>
    <row r="20" customFormat="false" ht="36" hidden="false" customHeight="true" outlineLevel="0" collapsed="false">
      <c r="A20" s="79" t="s">
        <v>623</v>
      </c>
      <c r="B20" s="79" t="s">
        <v>624</v>
      </c>
      <c r="C20" s="47" t="s">
        <v>625</v>
      </c>
      <c r="D20" s="47" t="s">
        <v>565</v>
      </c>
      <c r="E20" s="80"/>
      <c r="F20" s="80"/>
      <c r="G20" s="79" t="str">
        <f aca="false">IF(AND(ISNUMBER(E20),ISNUMBER(F20)),E20*F20,"")</f>
        <v/>
      </c>
      <c r="H20" s="79" t="str">
        <f aca="false">IF(G20="","",IF(G20&gt;=15,"High",IF(G20&gt;=8,"Medium","Low")))</f>
        <v/>
      </c>
      <c r="I20" s="47" t="s">
        <v>626</v>
      </c>
      <c r="J20" s="47" t="s">
        <v>450</v>
      </c>
      <c r="K20" s="80" t="s">
        <v>567</v>
      </c>
    </row>
    <row r="21" customFormat="false" ht="36" hidden="false" customHeight="true" outlineLevel="0" collapsed="false">
      <c r="A21" s="79" t="s">
        <v>627</v>
      </c>
      <c r="B21" s="79" t="s">
        <v>624</v>
      </c>
      <c r="C21" s="47" t="s">
        <v>628</v>
      </c>
      <c r="D21" s="47" t="s">
        <v>580</v>
      </c>
      <c r="E21" s="80"/>
      <c r="F21" s="80"/>
      <c r="G21" s="79" t="str">
        <f aca="false">IF(AND(ISNUMBER(E21),ISNUMBER(F21)),E21*F21,"")</f>
        <v/>
      </c>
      <c r="H21" s="79" t="str">
        <f aca="false">IF(G21="","",IF(G21&gt;=15,"High",IF(G21&gt;=8,"Medium","Low")))</f>
        <v/>
      </c>
      <c r="I21" s="47" t="s">
        <v>629</v>
      </c>
      <c r="J21" s="47" t="s">
        <v>433</v>
      </c>
      <c r="K21" s="80" t="s">
        <v>567</v>
      </c>
    </row>
    <row r="22" customFormat="false" ht="36" hidden="false" customHeight="true" outlineLevel="0" collapsed="false">
      <c r="A22" s="79" t="s">
        <v>630</v>
      </c>
      <c r="B22" s="79" t="s">
        <v>624</v>
      </c>
      <c r="C22" s="47" t="s">
        <v>631</v>
      </c>
      <c r="D22" s="47" t="s">
        <v>591</v>
      </c>
      <c r="E22" s="80"/>
      <c r="F22" s="80"/>
      <c r="G22" s="79" t="str">
        <f aca="false">IF(AND(ISNUMBER(E22),ISNUMBER(F22)),E22*F22,"")</f>
        <v/>
      </c>
      <c r="H22" s="79" t="str">
        <f aca="false">IF(G22="","",IF(G22&gt;=15,"High",IF(G22&gt;=8,"Medium","Low")))</f>
        <v/>
      </c>
      <c r="I22" s="47" t="s">
        <v>632</v>
      </c>
      <c r="J22" s="47" t="s">
        <v>450</v>
      </c>
      <c r="K22" s="80" t="s">
        <v>577</v>
      </c>
    </row>
  </sheetData>
  <autoFilter ref="A4:K22"/>
  <conditionalFormatting sqref="H5:H22">
    <cfRule type="cellIs" priority="2" operator="equal" aboveAverage="0" equalAverage="0" bottom="0" percent="0" rank="0" text="" dxfId="9">
      <formula>"High"</formula>
    </cfRule>
    <cfRule type="cellIs" priority="3" operator="equal" aboveAverage="0" equalAverage="0" bottom="0" percent="0" rank="0" text="" dxfId="11">
      <formula>"Medium"</formula>
    </cfRule>
    <cfRule type="cellIs" priority="4" operator="equal" aboveAverage="0" equalAverage="0" bottom="0" percent="0" rank="0" text="" dxfId="8">
      <formula>"Low"</formula>
    </cfRule>
  </conditionalFormatting>
  <conditionalFormatting sqref="K5:K22">
    <cfRule type="cellIs" priority="5" operator="equal" aboveAverage="0" equalAverage="0" bottom="0" percent="0" rank="0" text="" dxfId="32">
      <formula>"Open"</formula>
    </cfRule>
    <cfRule type="cellIs" priority="6" operator="equal" aboveAverage="0" equalAverage="0" bottom="0" percent="0" rank="0" text="" dxfId="8">
      <formula>"Mitigated"</formula>
    </cfRule>
    <cfRule type="cellIs" priority="7" operator="equal" aboveAverage="0" equalAverage="0" bottom="0" percent="0" rank="0" text="" dxfId="34">
      <formula>"Closed"</formula>
    </cfRule>
    <cfRule type="cellIs" priority="8" operator="equal" aboveAverage="0" equalAverage="0" bottom="0" percent="0" rank="0" text="" dxfId="10">
      <formula>"Monitoring"</formula>
    </cfRule>
  </conditionalFormatting>
  <dataValidations count="2">
    <dataValidation allowBlank="false" errorStyle="stop" operator="between" showDropDown="false" showErrorMessage="false" showInputMessage="false" sqref="B5:B42" type="list">
      <formula1>"Risk,Assumption,Issue,Dependency"</formula1>
      <formula2>0</formula2>
    </dataValidation>
    <dataValidation allowBlank="false" errorStyle="stop" operator="between" showDropDown="false" showErrorMessage="false" showInputMessage="false" sqref="K5:K42" type="list">
      <formula1>"Open,Monitoring,Mitigated,Closed"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4D4E"/>
    <pageSetUpPr fitToPage="false"/>
  </sheetPr>
  <dimension ref="A1:C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4"/>
    <col collapsed="false" customWidth="true" hidden="false" outlineLevel="0" max="3" min="3" style="0" width="40"/>
  </cols>
  <sheetData>
    <row r="1" customFormat="false" ht="25.5" hidden="false" customHeight="true" outlineLevel="0" collapsed="false">
      <c r="A1" s="43" t="s">
        <v>633</v>
      </c>
      <c r="B1" s="2"/>
      <c r="C1" s="2"/>
    </row>
    <row r="2" customFormat="false" ht="15" hidden="false" customHeight="false" outlineLevel="0" collapsed="false">
      <c r="A2" s="4" t="s">
        <v>634</v>
      </c>
      <c r="B2" s="2"/>
      <c r="C2" s="2"/>
    </row>
    <row r="4" customFormat="false" ht="15" hidden="false" customHeight="false" outlineLevel="0" collapsed="false">
      <c r="A4" s="44" t="s">
        <v>635</v>
      </c>
      <c r="B4" s="44" t="s">
        <v>636</v>
      </c>
      <c r="C4" s="44" t="s">
        <v>555</v>
      </c>
    </row>
    <row r="5" customFormat="false" ht="15" hidden="false" customHeight="false" outlineLevel="0" collapsed="false">
      <c r="A5" s="79" t="n">
        <v>1</v>
      </c>
      <c r="B5" s="113" t="n">
        <v>46335</v>
      </c>
      <c r="C5" s="46" t="s">
        <v>637</v>
      </c>
    </row>
    <row r="6" customFormat="false" ht="15" hidden="false" customHeight="false" outlineLevel="0" collapsed="false">
      <c r="A6" s="79" t="n">
        <v>2</v>
      </c>
      <c r="B6" s="113" t="n">
        <v>46350</v>
      </c>
      <c r="C6" s="46" t="s">
        <v>638</v>
      </c>
    </row>
    <row r="7" customFormat="false" ht="15" hidden="false" customHeight="false" outlineLevel="0" collapsed="false">
      <c r="A7" s="79" t="n">
        <v>3</v>
      </c>
      <c r="B7" s="113" t="n">
        <v>46381</v>
      </c>
      <c r="C7" s="46" t="s">
        <v>639</v>
      </c>
    </row>
    <row r="8" customFormat="false" ht="15" hidden="false" customHeight="false" outlineLevel="0" collapsed="false">
      <c r="A8" s="79" t="n">
        <v>4</v>
      </c>
      <c r="B8" s="113" t="n">
        <v>46388</v>
      </c>
      <c r="C8" s="46" t="s">
        <v>640</v>
      </c>
    </row>
    <row r="9" customFormat="false" ht="15" hidden="false" customHeight="false" outlineLevel="0" collapsed="false">
      <c r="A9" s="79" t="n">
        <v>5</v>
      </c>
      <c r="B9" s="113" t="n">
        <v>46413</v>
      </c>
      <c r="C9" s="46" t="s">
        <v>641</v>
      </c>
    </row>
    <row r="10" customFormat="false" ht="15" hidden="false" customHeight="false" outlineLevel="0" collapsed="false">
      <c r="A10" s="79" t="n">
        <v>6</v>
      </c>
      <c r="B10" s="113"/>
      <c r="C10" s="46"/>
    </row>
    <row r="11" customFormat="false" ht="15" hidden="false" customHeight="false" outlineLevel="0" collapsed="false">
      <c r="A11" s="79" t="n">
        <v>7</v>
      </c>
      <c r="B11" s="113"/>
      <c r="C11" s="46"/>
    </row>
    <row r="12" customFormat="false" ht="15" hidden="false" customHeight="false" outlineLevel="0" collapsed="false">
      <c r="A12" s="79" t="n">
        <v>8</v>
      </c>
      <c r="B12" s="113"/>
      <c r="C12" s="46"/>
    </row>
    <row r="13" customFormat="false" ht="15" hidden="false" customHeight="false" outlineLevel="0" collapsed="false">
      <c r="A13" s="79" t="n">
        <v>9</v>
      </c>
      <c r="B13" s="113"/>
      <c r="C13" s="46"/>
    </row>
    <row r="14" customFormat="false" ht="15" hidden="false" customHeight="false" outlineLevel="0" collapsed="false">
      <c r="A14" s="79" t="n">
        <v>10</v>
      </c>
      <c r="B14" s="113"/>
      <c r="C14" s="46"/>
    </row>
    <row r="15" customFormat="false" ht="15" hidden="false" customHeight="false" outlineLevel="0" collapsed="false">
      <c r="A15" s="79" t="n">
        <v>11</v>
      </c>
      <c r="B15" s="113"/>
      <c r="C15" s="46"/>
    </row>
    <row r="16" customFormat="false" ht="15" hidden="false" customHeight="false" outlineLevel="0" collapsed="false">
      <c r="A16" s="79" t="n">
        <v>12</v>
      </c>
      <c r="B16" s="113"/>
      <c r="C16" s="46"/>
    </row>
    <row r="17" customFormat="false" ht="15" hidden="false" customHeight="false" outlineLevel="0" collapsed="false">
      <c r="A17" s="79" t="n">
        <v>13</v>
      </c>
      <c r="B17" s="113"/>
      <c r="C17" s="46"/>
    </row>
    <row r="18" customFormat="false" ht="15" hidden="false" customHeight="false" outlineLevel="0" collapsed="false">
      <c r="A18" s="79" t="n">
        <v>14</v>
      </c>
      <c r="B18" s="113"/>
      <c r="C18" s="46"/>
    </row>
    <row r="19" customFormat="false" ht="15" hidden="false" customHeight="false" outlineLevel="0" collapsed="false">
      <c r="A19" s="79" t="n">
        <v>15</v>
      </c>
      <c r="B19" s="113"/>
      <c r="C19" s="46"/>
    </row>
    <row r="20" customFormat="false" ht="15" hidden="false" customHeight="false" outlineLevel="0" collapsed="false">
      <c r="A20" s="79" t="n">
        <v>16</v>
      </c>
      <c r="B20" s="113"/>
      <c r="C20" s="46"/>
    </row>
    <row r="21" customFormat="false" ht="15" hidden="false" customHeight="false" outlineLevel="0" collapsed="false">
      <c r="A21" s="79" t="n">
        <v>17</v>
      </c>
      <c r="B21" s="113"/>
      <c r="C21" s="46"/>
    </row>
    <row r="22" customFormat="false" ht="15" hidden="false" customHeight="false" outlineLevel="0" collapsed="false">
      <c r="A22" s="79" t="n">
        <v>18</v>
      </c>
      <c r="B22" s="113"/>
      <c r="C22" s="46"/>
    </row>
    <row r="23" customFormat="false" ht="15" hidden="false" customHeight="false" outlineLevel="0" collapsed="false">
      <c r="A23" s="79" t="n">
        <v>19</v>
      </c>
      <c r="B23" s="113"/>
      <c r="C23" s="46"/>
    </row>
    <row r="24" customFormat="false" ht="15" hidden="false" customHeight="false" outlineLevel="0" collapsed="false">
      <c r="A24" s="79" t="n">
        <v>20</v>
      </c>
      <c r="B24" s="113"/>
      <c r="C24" s="46"/>
    </row>
    <row r="25" customFormat="false" ht="15" hidden="false" customHeight="false" outlineLevel="0" collapsed="false">
      <c r="A25" s="79" t="n">
        <v>21</v>
      </c>
      <c r="B25" s="113"/>
      <c r="C25" s="46"/>
    </row>
    <row r="26" customFormat="false" ht="15" hidden="false" customHeight="false" outlineLevel="0" collapsed="false">
      <c r="A26" s="79" t="n">
        <v>22</v>
      </c>
      <c r="B26" s="113"/>
      <c r="C26" s="46"/>
    </row>
    <row r="27" customFormat="false" ht="15" hidden="false" customHeight="false" outlineLevel="0" collapsed="false">
      <c r="A27" s="79" t="n">
        <v>23</v>
      </c>
      <c r="B27" s="113"/>
      <c r="C27" s="46"/>
    </row>
    <row r="28" customFormat="false" ht="15" hidden="false" customHeight="false" outlineLevel="0" collapsed="false">
      <c r="A28" s="79" t="n">
        <v>24</v>
      </c>
      <c r="B28" s="113"/>
      <c r="C28" s="46"/>
    </row>
    <row r="29" customFormat="false" ht="15" hidden="false" customHeight="false" outlineLevel="0" collapsed="false">
      <c r="A29" s="79" t="n">
        <v>25</v>
      </c>
      <c r="B29" s="113"/>
      <c r="C29" s="46"/>
    </row>
    <row r="30" customFormat="false" ht="15" hidden="false" customHeight="false" outlineLevel="0" collapsed="false">
      <c r="A30" s="79" t="n">
        <v>26</v>
      </c>
      <c r="B30" s="113"/>
      <c r="C30" s="46"/>
    </row>
    <row r="31" customFormat="false" ht="15" hidden="false" customHeight="false" outlineLevel="0" collapsed="false">
      <c r="A31" s="79" t="n">
        <v>27</v>
      </c>
      <c r="B31" s="113"/>
      <c r="C31" s="46"/>
    </row>
    <row r="32" customFormat="false" ht="15" hidden="false" customHeight="false" outlineLevel="0" collapsed="false">
      <c r="A32" s="79" t="n">
        <v>28</v>
      </c>
      <c r="B32" s="113"/>
      <c r="C32" s="46"/>
    </row>
    <row r="33" customFormat="false" ht="15" hidden="false" customHeight="false" outlineLevel="0" collapsed="false">
      <c r="A33" s="79" t="n">
        <v>29</v>
      </c>
      <c r="B33" s="113"/>
      <c r="C33" s="46"/>
    </row>
    <row r="34" customFormat="false" ht="15" hidden="false" customHeight="false" outlineLevel="0" collapsed="false">
      <c r="A34" s="79" t="n">
        <v>30</v>
      </c>
      <c r="B34" s="113"/>
      <c r="C34" s="4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4D4E"/>
    <pageSetUpPr fitToPage="false"/>
  </sheetPr>
  <dimension ref="A1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5" min="3" style="0" width="13"/>
    <col collapsed="false" customWidth="true" hidden="false" outlineLevel="0" max="7" min="6" style="0" width="8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80"/>
  </cols>
  <sheetData>
    <row r="1" customFormat="false" ht="25.5" hidden="false" customHeight="true" outlineLevel="0" collapsed="false">
      <c r="A1" s="43" t="s">
        <v>642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4" t="s">
        <v>643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3.85" hidden="false" customHeight="false" outlineLevel="0" collapsed="false">
      <c r="A4" s="44" t="s">
        <v>644</v>
      </c>
      <c r="B4" s="44" t="s">
        <v>645</v>
      </c>
      <c r="C4" s="44" t="s">
        <v>150</v>
      </c>
      <c r="D4" s="44" t="s">
        <v>151</v>
      </c>
      <c r="E4" s="44" t="s">
        <v>152</v>
      </c>
      <c r="F4" s="44" t="s">
        <v>646</v>
      </c>
      <c r="G4" s="44" t="s">
        <v>56</v>
      </c>
      <c r="H4" s="44" t="s">
        <v>647</v>
      </c>
      <c r="I4" s="44" t="s">
        <v>522</v>
      </c>
      <c r="J4" s="44" t="s">
        <v>648</v>
      </c>
    </row>
    <row r="5" customFormat="false" ht="30" hidden="false" customHeight="true" outlineLevel="0" collapsed="false">
      <c r="A5" s="79" t="n">
        <v>1</v>
      </c>
      <c r="B5" s="99" t="n">
        <f aca="false">'Chart Data'!C5</f>
        <v>46318</v>
      </c>
      <c r="C5" s="114" t="n">
        <f aca="false">'Chart Data'!D5</f>
        <v>6.08</v>
      </c>
      <c r="D5" s="112" t="n">
        <v>6.1</v>
      </c>
      <c r="E5" s="112" t="n">
        <v>6.1</v>
      </c>
      <c r="F5" s="115" t="n">
        <f aca="false">IF(D5="","",IF(C5=0,1,D5/C5))</f>
        <v>1.00328947368421</v>
      </c>
      <c r="G5" s="115" t="n">
        <f aca="false">IF(OR(D5="",E5=""),"",IF(E5=0,1,D5/E5))</f>
        <v>1</v>
      </c>
      <c r="H5" s="102" t="n">
        <v>48</v>
      </c>
      <c r="I5" s="80" t="s">
        <v>649</v>
      </c>
      <c r="J5" s="46" t="s">
        <v>650</v>
      </c>
    </row>
    <row r="6" customFormat="false" ht="30" hidden="false" customHeight="true" outlineLevel="0" collapsed="false">
      <c r="A6" s="79" t="n">
        <v>2</v>
      </c>
      <c r="B6" s="99" t="n">
        <f aca="false">'Chart Data'!C6</f>
        <v>46325</v>
      </c>
      <c r="C6" s="114" t="n">
        <f aca="false">'Chart Data'!D6</f>
        <v>12.48</v>
      </c>
      <c r="D6" s="112" t="n">
        <v>12.1</v>
      </c>
      <c r="E6" s="112" t="n">
        <v>12.1</v>
      </c>
      <c r="F6" s="115" t="n">
        <f aca="false">IF(D6="","",IF(C6=0,1,D6/C6))</f>
        <v>0.969551282051282</v>
      </c>
      <c r="G6" s="115" t="n">
        <f aca="false">IF(OR(D6="",E6=""),"",IF(E6=0,1,D6/E6))</f>
        <v>1</v>
      </c>
      <c r="H6" s="102" t="n">
        <v>47</v>
      </c>
      <c r="I6" s="80" t="s">
        <v>649</v>
      </c>
      <c r="J6" s="46" t="s">
        <v>651</v>
      </c>
    </row>
    <row r="7" customFormat="false" ht="30" hidden="false" customHeight="true" outlineLevel="0" collapsed="false">
      <c r="A7" s="79" t="n">
        <v>3</v>
      </c>
      <c r="B7" s="99" t="n">
        <f aca="false">'Chart Data'!C7</f>
        <v>46332</v>
      </c>
      <c r="C7" s="114" t="n">
        <f aca="false">'Chart Data'!D7</f>
        <v>16.96</v>
      </c>
      <c r="D7" s="112" t="n">
        <v>16.8</v>
      </c>
      <c r="E7" s="112" t="n">
        <v>16.7</v>
      </c>
      <c r="F7" s="115" t="n">
        <f aca="false">IF(D7="","",IF(C7=0,1,D7/C7))</f>
        <v>0.990566037735849</v>
      </c>
      <c r="G7" s="115" t="n">
        <f aca="false">IF(OR(D7="",E7=""),"",IF(E7=0,1,D7/E7))</f>
        <v>1.0059880239521</v>
      </c>
      <c r="H7" s="102" t="n">
        <v>42</v>
      </c>
      <c r="I7" s="80" t="s">
        <v>649</v>
      </c>
      <c r="J7" s="46" t="s">
        <v>652</v>
      </c>
    </row>
    <row r="8" customFormat="false" ht="30" hidden="false" customHeight="true" outlineLevel="0" collapsed="false">
      <c r="A8" s="79" t="n">
        <v>4</v>
      </c>
      <c r="B8" s="99" t="n">
        <f aca="false">'Chart Data'!C8</f>
        <v>46339</v>
      </c>
      <c r="C8" s="114" t="n">
        <f aca="false">'Chart Data'!D8</f>
        <v>16.96</v>
      </c>
      <c r="D8" s="112" t="n">
        <v>17</v>
      </c>
      <c r="E8" s="112" t="n">
        <v>16.7</v>
      </c>
      <c r="F8" s="115" t="n">
        <f aca="false">IF(D8="","",IF(C8=0,1,D8/C8))</f>
        <v>1.00235849056604</v>
      </c>
      <c r="G8" s="115" t="n">
        <f aca="false">IF(OR(D8="",E8=""),"",IF(E8=0,1,D8/E8))</f>
        <v>1.01796407185629</v>
      </c>
      <c r="H8" s="102" t="n">
        <v>41</v>
      </c>
      <c r="I8" s="80" t="s">
        <v>649</v>
      </c>
      <c r="J8" s="46" t="s">
        <v>653</v>
      </c>
    </row>
    <row r="9" customFormat="false" ht="30" hidden="false" customHeight="true" outlineLevel="0" collapsed="false">
      <c r="A9" s="79" t="n">
        <v>5</v>
      </c>
      <c r="B9" s="99" t="n">
        <f aca="false">'Chart Data'!C9</f>
        <v>46346</v>
      </c>
      <c r="C9" s="114" t="n">
        <f aca="false">'Chart Data'!D9</f>
        <v>21.76</v>
      </c>
      <c r="D9" s="112" t="n">
        <v>22</v>
      </c>
      <c r="E9" s="112" t="n">
        <v>21.8</v>
      </c>
      <c r="F9" s="115" t="n">
        <f aca="false">IF(D9="","",IF(C9=0,1,D9/C9))</f>
        <v>1.01102941176471</v>
      </c>
      <c r="G9" s="115" t="n">
        <f aca="false">IF(OR(D9="",E9=""),"",IF(E9=0,1,D9/E9))</f>
        <v>1.00917431192661</v>
      </c>
      <c r="H9" s="102" t="n">
        <v>39</v>
      </c>
      <c r="I9" s="80" t="s">
        <v>649</v>
      </c>
      <c r="J9" s="46" t="s">
        <v>654</v>
      </c>
    </row>
    <row r="10" customFormat="false" ht="30" hidden="false" customHeight="true" outlineLevel="0" collapsed="false">
      <c r="A10" s="79" t="n">
        <v>6</v>
      </c>
      <c r="B10" s="99" t="n">
        <f aca="false">'Chart Data'!C10</f>
        <v>46353</v>
      </c>
      <c r="C10" s="114" t="n">
        <f aca="false">'Chart Data'!D10</f>
        <v>25.92</v>
      </c>
      <c r="D10" s="112" t="n">
        <v>25.9</v>
      </c>
      <c r="E10" s="112" t="n">
        <v>25.9</v>
      </c>
      <c r="F10" s="115" t="n">
        <f aca="false">IF(D10="","",IF(C10=0,1,D10/C10))</f>
        <v>0.999228395061728</v>
      </c>
      <c r="G10" s="115" t="n">
        <f aca="false">IF(OR(D10="",E10=""),"",IF(E10=0,1,D10/E10))</f>
        <v>1</v>
      </c>
      <c r="H10" s="102" t="n">
        <v>36</v>
      </c>
      <c r="I10" s="80" t="s">
        <v>649</v>
      </c>
      <c r="J10" s="46" t="s">
        <v>655</v>
      </c>
    </row>
    <row r="11" customFormat="false" ht="30" hidden="false" customHeight="true" outlineLevel="0" collapsed="false">
      <c r="A11" s="79" t="n">
        <v>7</v>
      </c>
      <c r="B11" s="99" t="n">
        <f aca="false">'Chart Data'!C11</f>
        <v>46360</v>
      </c>
      <c r="C11" s="114" t="n">
        <f aca="false">'Chart Data'!D11</f>
        <v>30.4</v>
      </c>
      <c r="D11" s="112" t="n">
        <v>30.4</v>
      </c>
      <c r="E11" s="112" t="n">
        <v>30.7</v>
      </c>
      <c r="F11" s="115" t="n">
        <f aca="false">IF(D11="","",IF(C11=0,1,D11/C11))</f>
        <v>1</v>
      </c>
      <c r="G11" s="115" t="n">
        <f aca="false">IF(OR(D11="",E11=""),"",IF(E11=0,1,D11/E11))</f>
        <v>0.990228013029316</v>
      </c>
      <c r="H11" s="102" t="n">
        <v>34</v>
      </c>
      <c r="I11" s="80" t="s">
        <v>649</v>
      </c>
      <c r="J11" s="46" t="s">
        <v>656</v>
      </c>
    </row>
    <row r="12" customFormat="false" ht="30" hidden="false" customHeight="true" outlineLevel="0" collapsed="false">
      <c r="A12" s="79" t="n">
        <v>8</v>
      </c>
      <c r="B12" s="99" t="n">
        <f aca="false">'Chart Data'!C12</f>
        <v>46367</v>
      </c>
      <c r="C12" s="114" t="n">
        <f aca="false">'Chart Data'!D12</f>
        <v>33.6</v>
      </c>
      <c r="D12" s="112" t="n">
        <v>33.9</v>
      </c>
      <c r="E12" s="112" t="n">
        <v>34.6</v>
      </c>
      <c r="F12" s="115" t="n">
        <f aca="false">IF(D12="","",IF(C12=0,1,D12/C12))</f>
        <v>1.00892857142857</v>
      </c>
      <c r="G12" s="115" t="n">
        <f aca="false">IF(OR(D12="",E12=""),"",IF(E12=0,1,D12/E12))</f>
        <v>0.979768786127168</v>
      </c>
      <c r="H12" s="102" t="n">
        <v>32</v>
      </c>
      <c r="I12" s="80" t="s">
        <v>649</v>
      </c>
      <c r="J12" s="46" t="s">
        <v>657</v>
      </c>
    </row>
    <row r="13" customFormat="false" ht="30" hidden="false" customHeight="true" outlineLevel="0" collapsed="false">
      <c r="A13" s="79" t="n">
        <v>9</v>
      </c>
      <c r="B13" s="99" t="n">
        <f aca="false">'Chart Data'!C13</f>
        <v>46374</v>
      </c>
      <c r="C13" s="114" t="n">
        <f aca="false">'Chart Data'!D13</f>
        <v>36.16</v>
      </c>
      <c r="D13" s="112" t="n">
        <v>35.8</v>
      </c>
      <c r="E13" s="112" t="n">
        <v>36.9</v>
      </c>
      <c r="F13" s="115" t="n">
        <f aca="false">IF(D13="","",IF(C13=0,1,D13/C13))</f>
        <v>0.990044247787611</v>
      </c>
      <c r="G13" s="115" t="n">
        <f aca="false">IF(OR(D13="",E13=""),"",IF(E13=0,1,D13/E13))</f>
        <v>0.970189701897019</v>
      </c>
      <c r="H13" s="102" t="n">
        <v>31</v>
      </c>
      <c r="I13" s="80" t="s">
        <v>649</v>
      </c>
      <c r="J13" s="46" t="s">
        <v>658</v>
      </c>
    </row>
    <row r="14" customFormat="false" ht="30" hidden="false" customHeight="true" outlineLevel="0" collapsed="false">
      <c r="A14" s="79" t="n">
        <v>10</v>
      </c>
      <c r="B14" s="99" t="n">
        <f aca="false">'Chart Data'!C14</f>
        <v>46381</v>
      </c>
      <c r="C14" s="114" t="n">
        <f aca="false">'Chart Data'!D14</f>
        <v>38.72</v>
      </c>
      <c r="D14" s="112" t="n">
        <v>37.9</v>
      </c>
      <c r="E14" s="112" t="n">
        <v>39.4</v>
      </c>
      <c r="F14" s="115" t="n">
        <f aca="false">IF(D14="","",IF(C14=0,1,D14/C14))</f>
        <v>0.978822314049587</v>
      </c>
      <c r="G14" s="115" t="n">
        <f aca="false">IF(OR(D14="",E14=""),"",IF(E14=0,1,D14/E14))</f>
        <v>0.961928934010152</v>
      </c>
      <c r="H14" s="102" t="n">
        <v>30</v>
      </c>
      <c r="I14" s="80" t="s">
        <v>659</v>
      </c>
      <c r="J14" s="46" t="s">
        <v>660</v>
      </c>
    </row>
    <row r="15" customFormat="false" ht="30" hidden="false" customHeight="true" outlineLevel="0" collapsed="false">
      <c r="A15" s="79" t="n">
        <v>11</v>
      </c>
      <c r="B15" s="99" t="n">
        <f aca="false">'Chart Data'!C15</f>
        <v>46388</v>
      </c>
      <c r="C15" s="114" t="n">
        <f aca="false">'Chart Data'!D15</f>
        <v>51.52</v>
      </c>
      <c r="D15" s="112" t="n">
        <v>48.9</v>
      </c>
      <c r="E15" s="112" t="n">
        <v>52.3</v>
      </c>
      <c r="F15" s="115" t="n">
        <f aca="false">IF(D15="","",IF(C15=0,1,D15/C15))</f>
        <v>0.949145962732919</v>
      </c>
      <c r="G15" s="115" t="n">
        <f aca="false">IF(OR(D15="",E15=""),"",IF(E15=0,1,D15/E15))</f>
        <v>0.934990439770555</v>
      </c>
      <c r="H15" s="102" t="n">
        <v>27</v>
      </c>
      <c r="I15" s="80" t="s">
        <v>659</v>
      </c>
      <c r="J15" s="46" t="s">
        <v>661</v>
      </c>
    </row>
    <row r="16" customFormat="false" ht="30" hidden="false" customHeight="true" outlineLevel="0" collapsed="false">
      <c r="A16" s="79" t="n">
        <v>12</v>
      </c>
      <c r="B16" s="99" t="n">
        <f aca="false">'Chart Data'!C16</f>
        <v>46395</v>
      </c>
      <c r="C16" s="114" t="n">
        <f aca="false">'Chart Data'!D16</f>
        <v>56.64</v>
      </c>
      <c r="D16" s="112" t="n">
        <v>52.6</v>
      </c>
      <c r="E16" s="112" t="n">
        <v>57.4</v>
      </c>
      <c r="F16" s="115" t="n">
        <f aca="false">IF(D16="","",IF(C16=0,1,D16/C16))</f>
        <v>0.928672316384181</v>
      </c>
      <c r="G16" s="115" t="n">
        <f aca="false">IF(OR(D16="",E16=""),"",IF(E16=0,1,D16/E16))</f>
        <v>0.916376306620209</v>
      </c>
      <c r="H16" s="102" t="n">
        <v>25</v>
      </c>
      <c r="I16" s="80" t="s">
        <v>659</v>
      </c>
      <c r="J16" s="46" t="s">
        <v>662</v>
      </c>
    </row>
    <row r="17" customFormat="false" ht="30" hidden="false" customHeight="true" outlineLevel="0" collapsed="false">
      <c r="A17" s="79" t="n">
        <v>13</v>
      </c>
      <c r="B17" s="99" t="n">
        <f aca="false">'Chart Data'!C17</f>
        <v>46402</v>
      </c>
      <c r="C17" s="114" t="n">
        <f aca="false">'Chart Data'!D17</f>
        <v>59.84</v>
      </c>
      <c r="D17" s="112" t="n">
        <v>56.4</v>
      </c>
      <c r="E17" s="112" t="n">
        <v>58.6</v>
      </c>
      <c r="F17" s="115" t="n">
        <f aca="false">IF(D17="","",IF(C17=0,1,D17/C17))</f>
        <v>0.942513368983957</v>
      </c>
      <c r="G17" s="115" t="n">
        <f aca="false">IF(OR(D17="",E17=""),"",IF(E17=0,1,D17/E17))</f>
        <v>0.962457337883959</v>
      </c>
      <c r="H17" s="102" t="n">
        <v>24</v>
      </c>
      <c r="I17" s="80" t="s">
        <v>659</v>
      </c>
      <c r="J17" s="46" t="s">
        <v>663</v>
      </c>
    </row>
    <row r="18" customFormat="false" ht="30" hidden="false" customHeight="true" outlineLevel="0" collapsed="false">
      <c r="A18" s="79" t="n">
        <v>14</v>
      </c>
      <c r="B18" s="99" t="n">
        <f aca="false">'Chart Data'!C18</f>
        <v>46409</v>
      </c>
      <c r="C18" s="114" t="n">
        <f aca="false">'Chart Data'!D18</f>
        <v>69.44</v>
      </c>
      <c r="D18" s="112"/>
      <c r="E18" s="112"/>
      <c r="F18" s="115" t="str">
        <f aca="false">IF(D18="","",IF(C18=0,1,D18/C18))</f>
        <v/>
      </c>
      <c r="G18" s="115" t="str">
        <f aca="false">IF(OR(D18="",E18=""),"",IF(E18=0,1,D18/E18))</f>
        <v/>
      </c>
      <c r="H18" s="102"/>
      <c r="I18" s="80"/>
      <c r="J18" s="46"/>
    </row>
    <row r="19" customFormat="false" ht="30" hidden="false" customHeight="true" outlineLevel="0" collapsed="false">
      <c r="A19" s="79" t="n">
        <v>15</v>
      </c>
      <c r="B19" s="99" t="n">
        <f aca="false">'Chart Data'!C19</f>
        <v>46416</v>
      </c>
      <c r="C19" s="114" t="n">
        <f aca="false">'Chart Data'!D19</f>
        <v>74.56</v>
      </c>
      <c r="D19" s="112"/>
      <c r="E19" s="112"/>
      <c r="F19" s="115" t="str">
        <f aca="false">IF(D19="","",IF(C19=0,1,D19/C19))</f>
        <v/>
      </c>
      <c r="G19" s="115" t="str">
        <f aca="false">IF(OR(D19="",E19=""),"",IF(E19=0,1,D19/E19))</f>
        <v/>
      </c>
      <c r="H19" s="102"/>
      <c r="I19" s="80"/>
      <c r="J19" s="46"/>
    </row>
    <row r="20" customFormat="false" ht="30" hidden="false" customHeight="true" outlineLevel="0" collapsed="false">
      <c r="A20" s="79" t="n">
        <v>16</v>
      </c>
      <c r="B20" s="99" t="n">
        <f aca="false">'Chart Data'!C20</f>
        <v>46423</v>
      </c>
      <c r="C20" s="114" t="n">
        <f aca="false">'Chart Data'!D20</f>
        <v>79.04</v>
      </c>
      <c r="D20" s="112"/>
      <c r="E20" s="112"/>
      <c r="F20" s="115" t="str">
        <f aca="false">IF(D20="","",IF(C20=0,1,D20/C20))</f>
        <v/>
      </c>
      <c r="G20" s="115" t="str">
        <f aca="false">IF(OR(D20="",E20=""),"",IF(E20=0,1,D20/E20))</f>
        <v/>
      </c>
      <c r="H20" s="102"/>
      <c r="I20" s="80"/>
      <c r="J20" s="46"/>
    </row>
    <row r="21" customFormat="false" ht="30" hidden="false" customHeight="true" outlineLevel="0" collapsed="false">
      <c r="A21" s="79" t="n">
        <v>17</v>
      </c>
      <c r="B21" s="99" t="n">
        <f aca="false">'Chart Data'!C21</f>
        <v>46430</v>
      </c>
      <c r="C21" s="114" t="n">
        <f aca="false">'Chart Data'!D21</f>
        <v>81.6</v>
      </c>
      <c r="D21" s="112"/>
      <c r="E21" s="112"/>
      <c r="F21" s="115" t="str">
        <f aca="false">IF(D21="","",IF(C21=0,1,D21/C21))</f>
        <v/>
      </c>
      <c r="G21" s="115" t="str">
        <f aca="false">IF(OR(D21="",E21=""),"",IF(E21=0,1,D21/E21))</f>
        <v/>
      </c>
      <c r="H21" s="102"/>
      <c r="I21" s="80"/>
      <c r="J21" s="46"/>
    </row>
    <row r="22" customFormat="false" ht="30" hidden="false" customHeight="true" outlineLevel="0" collapsed="false">
      <c r="A22" s="79" t="n">
        <v>18</v>
      </c>
      <c r="B22" s="99" t="n">
        <f aca="false">'Chart Data'!C22</f>
        <v>46437</v>
      </c>
      <c r="C22" s="114" t="n">
        <f aca="false">'Chart Data'!D22</f>
        <v>91.52</v>
      </c>
      <c r="D22" s="112"/>
      <c r="E22" s="112"/>
      <c r="F22" s="115" t="str">
        <f aca="false">IF(D22="","",IF(C22=0,1,D22/C22))</f>
        <v/>
      </c>
      <c r="G22" s="115" t="str">
        <f aca="false">IF(OR(D22="",E22=""),"",IF(E22=0,1,D22/E22))</f>
        <v/>
      </c>
      <c r="H22" s="102"/>
      <c r="I22" s="80"/>
      <c r="J22" s="46"/>
    </row>
    <row r="23" customFormat="false" ht="30" hidden="false" customHeight="true" outlineLevel="0" collapsed="false">
      <c r="A23" s="79" t="n">
        <v>19</v>
      </c>
      <c r="B23" s="99" t="n">
        <f aca="false">'Chart Data'!C23</f>
        <v>46444</v>
      </c>
      <c r="C23" s="114" t="n">
        <f aca="false">'Chart Data'!D23</f>
        <v>96.64</v>
      </c>
      <c r="D23" s="112"/>
      <c r="E23" s="112"/>
      <c r="F23" s="115" t="str">
        <f aca="false">IF(D23="","",IF(C23=0,1,D23/C23))</f>
        <v/>
      </c>
      <c r="G23" s="115" t="str">
        <f aca="false">IF(OR(D23="",E23=""),"",IF(E23=0,1,D23/E23))</f>
        <v/>
      </c>
      <c r="H23" s="102"/>
      <c r="I23" s="80"/>
      <c r="J23" s="46"/>
    </row>
    <row r="24" customFormat="false" ht="30" hidden="false" customHeight="true" outlineLevel="0" collapsed="false">
      <c r="A24" s="79" t="n">
        <v>20</v>
      </c>
      <c r="B24" s="99" t="n">
        <f aca="false">'Chart Data'!C24</f>
        <v>46451</v>
      </c>
      <c r="C24" s="114" t="n">
        <f aca="false">'Chart Data'!D24</f>
        <v>101.12</v>
      </c>
      <c r="D24" s="112"/>
      <c r="E24" s="112"/>
      <c r="F24" s="115" t="str">
        <f aca="false">IF(D24="","",IF(C24=0,1,D24/C24))</f>
        <v/>
      </c>
      <c r="G24" s="115" t="str">
        <f aca="false">IF(OR(D24="",E24=""),"",IF(E24=0,1,D24/E24))</f>
        <v/>
      </c>
      <c r="H24" s="102"/>
      <c r="I24" s="80"/>
      <c r="J24" s="46"/>
    </row>
    <row r="25" customFormat="false" ht="30" hidden="false" customHeight="true" outlineLevel="0" collapsed="false">
      <c r="A25" s="79" t="n">
        <v>21</v>
      </c>
      <c r="B25" s="99" t="n">
        <f aca="false">'Chart Data'!C25</f>
        <v>46458</v>
      </c>
      <c r="C25" s="114" t="n">
        <f aca="false">'Chart Data'!D25</f>
        <v>105.6</v>
      </c>
      <c r="D25" s="112"/>
      <c r="E25" s="112"/>
      <c r="F25" s="115" t="str">
        <f aca="false">IF(D25="","",IF(C25=0,1,D25/C25))</f>
        <v/>
      </c>
      <c r="G25" s="115" t="str">
        <f aca="false">IF(OR(D25="",E25=""),"",IF(E25=0,1,D25/E25))</f>
        <v/>
      </c>
      <c r="H25" s="102"/>
      <c r="I25" s="80"/>
      <c r="J25" s="46"/>
    </row>
  </sheetData>
  <conditionalFormatting sqref="I5:I25">
    <cfRule type="cellIs" priority="2" operator="equal" aboveAverage="0" equalAverage="0" bottom="0" percent="0" rank="0" text="" dxfId="8">
      <formula>"GREEN"</formula>
    </cfRule>
    <cfRule type="cellIs" priority="3" operator="equal" aboveAverage="0" equalAverage="0" bottom="0" percent="0" rank="0" text="" dxfId="11">
      <formula>"AMBER"</formula>
    </cfRule>
    <cfRule type="cellIs" priority="4" operator="equal" aboveAverage="0" equalAverage="0" bottom="0" percent="0" rank="0" text="" dxfId="9">
      <formula>"RED"</formula>
    </cfRule>
  </conditionalFormatting>
  <conditionalFormatting sqref="F5:G25">
    <cfRule type="cellIs" priority="5" operator="between" aboveAverage="0" equalAverage="0" bottom="0" percent="0" rank="0" text="" dxfId="12">
      <formula>0.01</formula>
      <formula>0.949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V1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2"/>
    <col collapsed="false" customWidth="true" hidden="false" outlineLevel="0" max="10" min="6" style="0" width="14"/>
    <col collapsed="false" customWidth="true" hidden="false" outlineLevel="0" max="12" min="11" style="0" width="10"/>
  </cols>
  <sheetData>
    <row r="1" customFormat="false" ht="25.5" hidden="false" customHeight="true" outlineLevel="0" collapsed="false">
      <c r="A1" s="43" t="s">
        <v>664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" hidden="false" customHeight="false" outlineLevel="0" collapsed="false">
      <c r="A2" s="4" t="s">
        <v>665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23.85" hidden="false" customHeight="false" outlineLevel="0" collapsed="false">
      <c r="A4" s="44" t="s">
        <v>644</v>
      </c>
      <c r="B4" s="44" t="s">
        <v>666</v>
      </c>
      <c r="C4" s="44" t="s">
        <v>667</v>
      </c>
      <c r="D4" s="44" t="s">
        <v>668</v>
      </c>
      <c r="E4" s="44" t="s">
        <v>669</v>
      </c>
      <c r="F4" s="44" t="s">
        <v>670</v>
      </c>
      <c r="G4" s="44" t="s">
        <v>671</v>
      </c>
      <c r="H4" s="44" t="s">
        <v>672</v>
      </c>
      <c r="I4" s="44" t="s">
        <v>673</v>
      </c>
      <c r="J4" s="44" t="s">
        <v>674</v>
      </c>
      <c r="K4" s="44" t="s">
        <v>675</v>
      </c>
      <c r="L4" s="44" t="s">
        <v>676</v>
      </c>
    </row>
    <row r="5" customFormat="false" ht="15" hidden="false" customHeight="false" outlineLevel="0" collapsed="false">
      <c r="A5" s="0" t="n">
        <v>1</v>
      </c>
      <c r="B5" s="116" t="n">
        <f aca="false">ProjectStart-WEEKDAY(ProjectStart,3)+0</f>
        <v>46314</v>
      </c>
      <c r="C5" s="116" t="n">
        <f aca="false">B5+4</f>
        <v>46318</v>
      </c>
      <c r="D5" s="117" t="n">
        <f aca="false">SUM(B71:B121)</f>
        <v>6.08</v>
      </c>
      <c r="E5" s="118" t="n">
        <f aca="false">COUNTIFS('WBS Schedule'!$B$7:$B$68,2,'WBS Schedule'!$G$7:$G$68,"&gt;0")-COUNTIFS('WBS Schedule'!$B$7:$B$68,2,'WBS Schedule'!$G$7:$G$68,"&gt;0",'WBS Schedule'!$I$7:$I$68,"&lt;="&amp;C5)</f>
        <v>48</v>
      </c>
      <c r="F5" s="118" t="n">
        <f aca="false">SUMPRODUCT(('WBS Schedule'!V9:V18=1)*'WBS Schedule'!$N$9:$N$18)</f>
        <v>8</v>
      </c>
      <c r="G5" s="118" t="n">
        <f aca="false">SUMPRODUCT(('WBS Schedule'!V21:V30=1)*'WBS Schedule'!$N$21:$N$30)</f>
        <v>0</v>
      </c>
      <c r="H5" s="118" t="n">
        <f aca="false">SUMPRODUCT(('WBS Schedule'!V33:V42=1)*'WBS Schedule'!$N$33:$N$42)</f>
        <v>0</v>
      </c>
      <c r="I5" s="118" t="n">
        <f aca="false">SUMPRODUCT(('WBS Schedule'!V45:V54=1)*'WBS Schedule'!$N$45:$N$54)</f>
        <v>0</v>
      </c>
      <c r="J5" s="118" t="n">
        <f aca="false">SUMPRODUCT(('WBS Schedule'!V57:V67=1)*'WBS Schedule'!$N$57:$N$67)</f>
        <v>0</v>
      </c>
      <c r="K5" s="0" t="n">
        <v>1</v>
      </c>
      <c r="L5" s="118" t="s">
        <v>118</v>
      </c>
    </row>
    <row r="6" customFormat="false" ht="15" hidden="false" customHeight="false" outlineLevel="0" collapsed="false">
      <c r="A6" s="0" t="n">
        <v>2</v>
      </c>
      <c r="B6" s="116" t="n">
        <f aca="false">ProjectStart-WEEKDAY(ProjectStart,3)+7</f>
        <v>46321</v>
      </c>
      <c r="C6" s="116" t="n">
        <f aca="false">B6+4</f>
        <v>46325</v>
      </c>
      <c r="D6" s="117" t="n">
        <f aca="false">SUM(C71:C121)</f>
        <v>12.48</v>
      </c>
      <c r="E6" s="118" t="n">
        <f aca="false">COUNTIFS('WBS Schedule'!$B$7:$B$68,2,'WBS Schedule'!$G$7:$G$68,"&gt;0")-COUNTIFS('WBS Schedule'!$B$7:$B$68,2,'WBS Schedule'!$G$7:$G$68,"&gt;0",'WBS Schedule'!$I$7:$I$68,"&lt;="&amp;C6)</f>
        <v>46</v>
      </c>
      <c r="F6" s="118" t="n">
        <f aca="false">SUMPRODUCT(('WBS Schedule'!W9:W18=1)*'WBS Schedule'!$N$9:$N$18)</f>
        <v>8</v>
      </c>
      <c r="G6" s="118" t="n">
        <f aca="false">SUMPRODUCT(('WBS Schedule'!W21:W30=1)*'WBS Schedule'!$N$21:$N$30)</f>
        <v>0</v>
      </c>
      <c r="H6" s="118" t="n">
        <f aca="false">SUMPRODUCT(('WBS Schedule'!W33:W42=1)*'WBS Schedule'!$N$33:$N$42)</f>
        <v>0</v>
      </c>
      <c r="I6" s="118" t="n">
        <f aca="false">SUMPRODUCT(('WBS Schedule'!W45:W54=1)*'WBS Schedule'!$N$45:$N$54)</f>
        <v>0</v>
      </c>
      <c r="J6" s="118" t="n">
        <f aca="false">SUMPRODUCT(('WBS Schedule'!W57:W67=1)*'WBS Schedule'!$N$57:$N$67)</f>
        <v>0</v>
      </c>
      <c r="K6" s="0" t="n">
        <v>1</v>
      </c>
      <c r="L6" s="118" t="s">
        <v>119</v>
      </c>
    </row>
    <row r="7" customFormat="false" ht="15" hidden="false" customHeight="false" outlineLevel="0" collapsed="false">
      <c r="A7" s="0" t="n">
        <v>3</v>
      </c>
      <c r="B7" s="116" t="n">
        <f aca="false">ProjectStart-WEEKDAY(ProjectStart,3)+14</f>
        <v>46328</v>
      </c>
      <c r="C7" s="116" t="n">
        <f aca="false">B7+4</f>
        <v>46332</v>
      </c>
      <c r="D7" s="117" t="n">
        <f aca="false">SUM(D71:D121)</f>
        <v>16.96</v>
      </c>
      <c r="E7" s="118" t="n">
        <f aca="false">COUNTIFS('WBS Schedule'!$B$7:$B$68,2,'WBS Schedule'!$G$7:$G$68,"&gt;0")-COUNTIFS('WBS Schedule'!$B$7:$B$68,2,'WBS Schedule'!$G$7:$G$68,"&gt;0",'WBS Schedule'!$I$7:$I$68,"&lt;="&amp;C7)</f>
        <v>41</v>
      </c>
      <c r="F7" s="118" t="n">
        <f aca="false">SUMPRODUCT(('WBS Schedule'!X9:X18=1)*'WBS Schedule'!$N$9:$N$18)</f>
        <v>9</v>
      </c>
      <c r="G7" s="118" t="n">
        <f aca="false">SUMPRODUCT(('WBS Schedule'!X21:X30=1)*'WBS Schedule'!$N$21:$N$30)</f>
        <v>0</v>
      </c>
      <c r="H7" s="118" t="n">
        <f aca="false">SUMPRODUCT(('WBS Schedule'!X33:X42=1)*'WBS Schedule'!$N$33:$N$42)</f>
        <v>0</v>
      </c>
      <c r="I7" s="118" t="n">
        <f aca="false">SUMPRODUCT(('WBS Schedule'!X45:X54=1)*'WBS Schedule'!$N$45:$N$54)</f>
        <v>0</v>
      </c>
      <c r="J7" s="118" t="n">
        <f aca="false">SUMPRODUCT(('WBS Schedule'!X57:X67=1)*'WBS Schedule'!$N$57:$N$67)</f>
        <v>0</v>
      </c>
      <c r="K7" s="0" t="n">
        <v>1</v>
      </c>
      <c r="L7" s="118" t="s">
        <v>120</v>
      </c>
    </row>
    <row r="8" customFormat="false" ht="15" hidden="false" customHeight="false" outlineLevel="0" collapsed="false">
      <c r="A8" s="0" t="n">
        <v>4</v>
      </c>
      <c r="B8" s="116" t="n">
        <f aca="false">ProjectStart-WEEKDAY(ProjectStart,3)+21</f>
        <v>46335</v>
      </c>
      <c r="C8" s="116" t="n">
        <f aca="false">B8+4</f>
        <v>46339</v>
      </c>
      <c r="D8" s="117" t="n">
        <f aca="false">SUM(E71:E121)</f>
        <v>16.96</v>
      </c>
      <c r="E8" s="118" t="n">
        <f aca="false">COUNTIFS('WBS Schedule'!$B$7:$B$68,2,'WBS Schedule'!$G$7:$G$68,"&gt;0")-COUNTIFS('WBS Schedule'!$B$7:$B$68,2,'WBS Schedule'!$G$7:$G$68,"&gt;0",'WBS Schedule'!$I$7:$I$68,"&lt;="&amp;C8)</f>
        <v>41</v>
      </c>
      <c r="F8" s="118" t="n">
        <f aca="false">SUMPRODUCT(('WBS Schedule'!Y9:Y18=1)*'WBS Schedule'!$N$9:$N$18)</f>
        <v>0</v>
      </c>
      <c r="G8" s="118" t="n">
        <f aca="false">SUMPRODUCT(('WBS Schedule'!Y21:Y30=1)*'WBS Schedule'!$N$21:$N$30)</f>
        <v>0</v>
      </c>
      <c r="H8" s="118" t="n">
        <f aca="false">SUMPRODUCT(('WBS Schedule'!Y33:Y42=1)*'WBS Schedule'!$N$33:$N$42)</f>
        <v>0</v>
      </c>
      <c r="I8" s="118" t="n">
        <f aca="false">SUMPRODUCT(('WBS Schedule'!Y45:Y54=1)*'WBS Schedule'!$N$45:$N$54)</f>
        <v>0</v>
      </c>
      <c r="J8" s="118" t="n">
        <f aca="false">SUMPRODUCT(('WBS Schedule'!Y57:Y67=1)*'WBS Schedule'!$N$57:$N$67)</f>
        <v>0</v>
      </c>
      <c r="K8" s="0" t="n">
        <v>1</v>
      </c>
      <c r="L8" s="118" t="s">
        <v>121</v>
      </c>
    </row>
    <row r="9" customFormat="false" ht="15" hidden="false" customHeight="false" outlineLevel="0" collapsed="false">
      <c r="A9" s="0" t="n">
        <v>5</v>
      </c>
      <c r="B9" s="116" t="n">
        <f aca="false">ProjectStart-WEEKDAY(ProjectStart,3)+28</f>
        <v>46342</v>
      </c>
      <c r="C9" s="116" t="n">
        <f aca="false">B9+4</f>
        <v>46346</v>
      </c>
      <c r="D9" s="117" t="n">
        <f aca="false">SUM(F71:F121)</f>
        <v>21.76</v>
      </c>
      <c r="E9" s="118" t="n">
        <f aca="false">COUNTIFS('WBS Schedule'!$B$7:$B$68,2,'WBS Schedule'!$G$7:$G$68,"&gt;0")-COUNTIFS('WBS Schedule'!$B$7:$B$68,2,'WBS Schedule'!$G$7:$G$68,"&gt;0",'WBS Schedule'!$I$7:$I$68,"&lt;="&amp;C9)</f>
        <v>38</v>
      </c>
      <c r="F9" s="118" t="n">
        <f aca="false">SUMPRODUCT(('WBS Schedule'!Z9:Z18=1)*'WBS Schedule'!$N$9:$N$18)</f>
        <v>0</v>
      </c>
      <c r="G9" s="118" t="n">
        <f aca="false">SUMPRODUCT(('WBS Schedule'!Z21:Z30=1)*'WBS Schedule'!$N$21:$N$30)</f>
        <v>6</v>
      </c>
      <c r="H9" s="118" t="n">
        <f aca="false">SUMPRODUCT(('WBS Schedule'!Z33:Z42=1)*'WBS Schedule'!$N$33:$N$42)</f>
        <v>0</v>
      </c>
      <c r="I9" s="118" t="n">
        <f aca="false">SUMPRODUCT(('WBS Schedule'!Z45:Z54=1)*'WBS Schedule'!$N$45:$N$54)</f>
        <v>0</v>
      </c>
      <c r="J9" s="118" t="n">
        <f aca="false">SUMPRODUCT(('WBS Schedule'!Z57:Z67=1)*'WBS Schedule'!$N$57:$N$67)</f>
        <v>0</v>
      </c>
      <c r="K9" s="0" t="n">
        <v>1</v>
      </c>
      <c r="L9" s="118" t="s">
        <v>122</v>
      </c>
    </row>
    <row r="10" customFormat="false" ht="15" hidden="false" customHeight="false" outlineLevel="0" collapsed="false">
      <c r="A10" s="0" t="n">
        <v>6</v>
      </c>
      <c r="B10" s="116" t="n">
        <f aca="false">ProjectStart-WEEKDAY(ProjectStart,3)+35</f>
        <v>46349</v>
      </c>
      <c r="C10" s="116" t="n">
        <f aca="false">B10+4</f>
        <v>46353</v>
      </c>
      <c r="D10" s="117" t="n">
        <f aca="false">SUM(G71:G121)</f>
        <v>25.92</v>
      </c>
      <c r="E10" s="118" t="n">
        <f aca="false">COUNTIFS('WBS Schedule'!$B$7:$B$68,2,'WBS Schedule'!$G$7:$G$68,"&gt;0")-COUNTIFS('WBS Schedule'!$B$7:$B$68,2,'WBS Schedule'!$G$7:$G$68,"&gt;0",'WBS Schedule'!$I$7:$I$68,"&lt;="&amp;C10)</f>
        <v>36</v>
      </c>
      <c r="F10" s="118" t="n">
        <f aca="false">SUMPRODUCT(('WBS Schedule'!AA9:AA18=1)*'WBS Schedule'!$N$9:$N$18)</f>
        <v>0</v>
      </c>
      <c r="G10" s="118" t="n">
        <f aca="false">SUMPRODUCT(('WBS Schedule'!AA21:AA30=1)*'WBS Schedule'!$N$21:$N$30)</f>
        <v>7</v>
      </c>
      <c r="H10" s="118" t="n">
        <f aca="false">SUMPRODUCT(('WBS Schedule'!AA33:AA42=1)*'WBS Schedule'!$N$33:$N$42)</f>
        <v>0</v>
      </c>
      <c r="I10" s="118" t="n">
        <f aca="false">SUMPRODUCT(('WBS Schedule'!AA45:AA54=1)*'WBS Schedule'!$N$45:$N$54)</f>
        <v>0</v>
      </c>
      <c r="J10" s="118" t="n">
        <f aca="false">SUMPRODUCT(('WBS Schedule'!AA57:AA67=1)*'WBS Schedule'!$N$57:$N$67)</f>
        <v>0</v>
      </c>
      <c r="K10" s="0" t="n">
        <v>1</v>
      </c>
      <c r="L10" s="118" t="s">
        <v>123</v>
      </c>
    </row>
    <row r="11" customFormat="false" ht="15" hidden="false" customHeight="false" outlineLevel="0" collapsed="false">
      <c r="A11" s="0" t="n">
        <v>7</v>
      </c>
      <c r="B11" s="116" t="n">
        <f aca="false">ProjectStart-WEEKDAY(ProjectStart,3)+42</f>
        <v>46356</v>
      </c>
      <c r="C11" s="116" t="n">
        <f aca="false">B11+4</f>
        <v>46360</v>
      </c>
      <c r="D11" s="117" t="n">
        <f aca="false">SUM(H71:H121)</f>
        <v>30.4</v>
      </c>
      <c r="E11" s="118" t="n">
        <f aca="false">COUNTIFS('WBS Schedule'!$B$7:$B$68,2,'WBS Schedule'!$G$7:$G$68,"&gt;0")-COUNTIFS('WBS Schedule'!$B$7:$B$68,2,'WBS Schedule'!$G$7:$G$68,"&gt;0",'WBS Schedule'!$I$7:$I$68,"&lt;="&amp;C11)</f>
        <v>33</v>
      </c>
      <c r="F11" s="118" t="n">
        <f aca="false">SUMPRODUCT(('WBS Schedule'!AB9:AB18=1)*'WBS Schedule'!$N$9:$N$18)</f>
        <v>0</v>
      </c>
      <c r="G11" s="118" t="n">
        <f aca="false">SUMPRODUCT(('WBS Schedule'!AB21:AB30=1)*'WBS Schedule'!$N$21:$N$30)</f>
        <v>6</v>
      </c>
      <c r="H11" s="118" t="n">
        <f aca="false">SUMPRODUCT(('WBS Schedule'!AB33:AB42=1)*'WBS Schedule'!$N$33:$N$42)</f>
        <v>0</v>
      </c>
      <c r="I11" s="118" t="n">
        <f aca="false">SUMPRODUCT(('WBS Schedule'!AB45:AB54=1)*'WBS Schedule'!$N$45:$N$54)</f>
        <v>0</v>
      </c>
      <c r="J11" s="118" t="n">
        <f aca="false">SUMPRODUCT(('WBS Schedule'!AB57:AB67=1)*'WBS Schedule'!$N$57:$N$67)</f>
        <v>0</v>
      </c>
      <c r="K11" s="0" t="n">
        <v>1</v>
      </c>
      <c r="L11" s="118" t="s">
        <v>124</v>
      </c>
    </row>
    <row r="12" customFormat="false" ht="15" hidden="false" customHeight="false" outlineLevel="0" collapsed="false">
      <c r="A12" s="0" t="n">
        <v>8</v>
      </c>
      <c r="B12" s="116" t="n">
        <f aca="false">ProjectStart-WEEKDAY(ProjectStart,3)+49</f>
        <v>46363</v>
      </c>
      <c r="C12" s="116" t="n">
        <f aca="false">B12+4</f>
        <v>46367</v>
      </c>
      <c r="D12" s="117" t="n">
        <f aca="false">SUM(I71:I121)</f>
        <v>33.6</v>
      </c>
      <c r="E12" s="118" t="n">
        <f aca="false">COUNTIFS('WBS Schedule'!$B$7:$B$68,2,'WBS Schedule'!$G$7:$G$68,"&gt;0")-COUNTIFS('WBS Schedule'!$B$7:$B$68,2,'WBS Schedule'!$G$7:$G$68,"&gt;0",'WBS Schedule'!$I$7:$I$68,"&lt;="&amp;C12)</f>
        <v>32</v>
      </c>
      <c r="F12" s="118" t="n">
        <f aca="false">SUMPRODUCT(('WBS Schedule'!AC9:AC18=1)*'WBS Schedule'!$N$9:$N$18)</f>
        <v>0</v>
      </c>
      <c r="G12" s="118" t="n">
        <f aca="false">SUMPRODUCT(('WBS Schedule'!AC21:AC30=1)*'WBS Schedule'!$N$21:$N$30)</f>
        <v>4</v>
      </c>
      <c r="H12" s="118" t="n">
        <f aca="false">SUMPRODUCT(('WBS Schedule'!AC33:AC42=1)*'WBS Schedule'!$N$33:$N$42)</f>
        <v>0</v>
      </c>
      <c r="I12" s="118" t="n">
        <f aca="false">SUMPRODUCT(('WBS Schedule'!AC45:AC54=1)*'WBS Schedule'!$N$45:$N$54)</f>
        <v>0</v>
      </c>
      <c r="J12" s="118" t="n">
        <f aca="false">SUMPRODUCT(('WBS Schedule'!AC57:AC67=1)*'WBS Schedule'!$N$57:$N$67)</f>
        <v>0</v>
      </c>
      <c r="K12" s="0" t="n">
        <v>1</v>
      </c>
      <c r="L12" s="118" t="s">
        <v>125</v>
      </c>
    </row>
    <row r="13" customFormat="false" ht="15" hidden="false" customHeight="false" outlineLevel="0" collapsed="false">
      <c r="A13" s="0" t="n">
        <v>9</v>
      </c>
      <c r="B13" s="116" t="n">
        <f aca="false">ProjectStart-WEEKDAY(ProjectStart,3)+56</f>
        <v>46370</v>
      </c>
      <c r="C13" s="116" t="n">
        <f aca="false">B13+4</f>
        <v>46374</v>
      </c>
      <c r="D13" s="117" t="n">
        <f aca="false">SUM(J71:J121)</f>
        <v>36.16</v>
      </c>
      <c r="E13" s="118" t="n">
        <f aca="false">COUNTIFS('WBS Schedule'!$B$7:$B$68,2,'WBS Schedule'!$G$7:$G$68,"&gt;0")-COUNTIFS('WBS Schedule'!$B$7:$B$68,2,'WBS Schedule'!$G$7:$G$68,"&gt;0",'WBS Schedule'!$I$7:$I$68,"&lt;="&amp;C13)</f>
        <v>30</v>
      </c>
      <c r="F13" s="118" t="n">
        <f aca="false">SUMPRODUCT(('WBS Schedule'!AD9:AD18=1)*'WBS Schedule'!$N$9:$N$18)</f>
        <v>0</v>
      </c>
      <c r="G13" s="118" t="n">
        <f aca="false">SUMPRODUCT(('WBS Schedule'!AD21:AD30=1)*'WBS Schedule'!$N$21:$N$30)</f>
        <v>2</v>
      </c>
      <c r="H13" s="118" t="n">
        <f aca="false">SUMPRODUCT(('WBS Schedule'!AD33:AD42=1)*'WBS Schedule'!$N$33:$N$42)</f>
        <v>2</v>
      </c>
      <c r="I13" s="118" t="n">
        <f aca="false">SUMPRODUCT(('WBS Schedule'!AD45:AD54=1)*'WBS Schedule'!$N$45:$N$54)</f>
        <v>0</v>
      </c>
      <c r="J13" s="118" t="n">
        <f aca="false">SUMPRODUCT(('WBS Schedule'!AD57:AD67=1)*'WBS Schedule'!$N$57:$N$67)</f>
        <v>0</v>
      </c>
      <c r="K13" s="0" t="n">
        <v>1</v>
      </c>
      <c r="L13" s="118" t="s">
        <v>126</v>
      </c>
    </row>
    <row r="14" customFormat="false" ht="15" hidden="false" customHeight="false" outlineLevel="0" collapsed="false">
      <c r="A14" s="0" t="n">
        <v>10</v>
      </c>
      <c r="B14" s="116" t="n">
        <f aca="false">ProjectStart-WEEKDAY(ProjectStart,3)+63</f>
        <v>46377</v>
      </c>
      <c r="C14" s="116" t="n">
        <f aca="false">B14+4</f>
        <v>46381</v>
      </c>
      <c r="D14" s="117" t="n">
        <f aca="false">SUM(K71:K121)</f>
        <v>38.72</v>
      </c>
      <c r="E14" s="118" t="n">
        <f aca="false">COUNTIFS('WBS Schedule'!$B$7:$B$68,2,'WBS Schedule'!$G$7:$G$68,"&gt;0")-COUNTIFS('WBS Schedule'!$B$7:$B$68,2,'WBS Schedule'!$G$7:$G$68,"&gt;0",'WBS Schedule'!$I$7:$I$68,"&lt;="&amp;C14)</f>
        <v>29</v>
      </c>
      <c r="F14" s="118" t="n">
        <f aca="false">SUMPRODUCT(('WBS Schedule'!AE9:AE18=1)*'WBS Schedule'!$N$9:$N$18)</f>
        <v>0</v>
      </c>
      <c r="G14" s="118" t="n">
        <f aca="false">SUMPRODUCT(('WBS Schedule'!AE21:AE30=1)*'WBS Schedule'!$N$21:$N$30)</f>
        <v>0</v>
      </c>
      <c r="H14" s="118" t="n">
        <f aca="false">SUMPRODUCT(('WBS Schedule'!AE33:AE42=1)*'WBS Schedule'!$N$33:$N$42)</f>
        <v>2</v>
      </c>
      <c r="I14" s="118" t="n">
        <f aca="false">SUMPRODUCT(('WBS Schedule'!AE45:AE54=1)*'WBS Schedule'!$N$45:$N$54)</f>
        <v>0</v>
      </c>
      <c r="J14" s="118" t="n">
        <f aca="false">SUMPRODUCT(('WBS Schedule'!AE57:AE67=1)*'WBS Schedule'!$N$57:$N$67)</f>
        <v>0</v>
      </c>
      <c r="K14" s="0" t="n">
        <v>1</v>
      </c>
      <c r="L14" s="118" t="s">
        <v>127</v>
      </c>
    </row>
    <row r="15" customFormat="false" ht="15" hidden="false" customHeight="false" outlineLevel="0" collapsed="false">
      <c r="A15" s="0" t="n">
        <v>11</v>
      </c>
      <c r="B15" s="116" t="n">
        <f aca="false">ProjectStart-WEEKDAY(ProjectStart,3)+70</f>
        <v>46384</v>
      </c>
      <c r="C15" s="116" t="n">
        <f aca="false">B15+4</f>
        <v>46388</v>
      </c>
      <c r="D15" s="117" t="n">
        <f aca="false">SUM(L71:L121)</f>
        <v>51.52</v>
      </c>
      <c r="E15" s="118" t="n">
        <f aca="false">COUNTIFS('WBS Schedule'!$B$7:$B$68,2,'WBS Schedule'!$G$7:$G$68,"&gt;0")-COUNTIFS('WBS Schedule'!$B$7:$B$68,2,'WBS Schedule'!$G$7:$G$68,"&gt;0",'WBS Schedule'!$I$7:$I$68,"&lt;="&amp;C15)</f>
        <v>25</v>
      </c>
      <c r="F15" s="118" t="n">
        <f aca="false">SUMPRODUCT(('WBS Schedule'!AF9:AF18=1)*'WBS Schedule'!$N$9:$N$18)</f>
        <v>0</v>
      </c>
      <c r="G15" s="118" t="n">
        <f aca="false">SUMPRODUCT(('WBS Schedule'!AF21:AF30=1)*'WBS Schedule'!$N$21:$N$30)</f>
        <v>0</v>
      </c>
      <c r="H15" s="118" t="n">
        <f aca="false">SUMPRODUCT(('WBS Schedule'!AF33:AF42=1)*'WBS Schedule'!$N$33:$N$42)</f>
        <v>12</v>
      </c>
      <c r="I15" s="118" t="n">
        <f aca="false">SUMPRODUCT(('WBS Schedule'!AF45:AF54=1)*'WBS Schedule'!$N$45:$N$54)</f>
        <v>0</v>
      </c>
      <c r="J15" s="118" t="n">
        <f aca="false">SUMPRODUCT(('WBS Schedule'!AF57:AF67=1)*'WBS Schedule'!$N$57:$N$67)</f>
        <v>0</v>
      </c>
      <c r="K15" s="0" t="n">
        <v>1</v>
      </c>
      <c r="L15" s="118" t="s">
        <v>128</v>
      </c>
    </row>
    <row r="16" customFormat="false" ht="15" hidden="false" customHeight="false" outlineLevel="0" collapsed="false">
      <c r="A16" s="0" t="n">
        <v>12</v>
      </c>
      <c r="B16" s="116" t="n">
        <f aca="false">ProjectStart-WEEKDAY(ProjectStart,3)+77</f>
        <v>46391</v>
      </c>
      <c r="C16" s="116" t="n">
        <f aca="false">B16+4</f>
        <v>46395</v>
      </c>
      <c r="D16" s="117" t="n">
        <f aca="false">SUM(M71:M121)</f>
        <v>56.64</v>
      </c>
      <c r="E16" s="118" t="n">
        <f aca="false">COUNTIFS('WBS Schedule'!$B$7:$B$68,2,'WBS Schedule'!$G$7:$G$68,"&gt;0")-COUNTIFS('WBS Schedule'!$B$7:$B$68,2,'WBS Schedule'!$G$7:$G$68,"&gt;0",'WBS Schedule'!$I$7:$I$68,"&lt;="&amp;C16)</f>
        <v>23</v>
      </c>
      <c r="F16" s="118" t="n">
        <f aca="false">SUMPRODUCT(('WBS Schedule'!AG9:AG18=1)*'WBS Schedule'!$N$9:$N$18)</f>
        <v>0</v>
      </c>
      <c r="G16" s="118" t="n">
        <f aca="false">SUMPRODUCT(('WBS Schedule'!AG21:AG30=1)*'WBS Schedule'!$N$21:$N$30)</f>
        <v>0</v>
      </c>
      <c r="H16" s="118" t="n">
        <f aca="false">SUMPRODUCT(('WBS Schedule'!AG33:AG42=1)*'WBS Schedule'!$N$33:$N$42)</f>
        <v>7</v>
      </c>
      <c r="I16" s="118" t="n">
        <f aca="false">SUMPRODUCT(('WBS Schedule'!AG45:AG54=1)*'WBS Schedule'!$N$45:$N$54)</f>
        <v>0</v>
      </c>
      <c r="J16" s="118" t="n">
        <f aca="false">SUMPRODUCT(('WBS Schedule'!AG57:AG67=1)*'WBS Schedule'!$N$57:$N$67)</f>
        <v>0</v>
      </c>
      <c r="K16" s="0" t="n">
        <v>1</v>
      </c>
      <c r="L16" s="118" t="s">
        <v>129</v>
      </c>
    </row>
    <row r="17" customFormat="false" ht="15" hidden="false" customHeight="false" outlineLevel="0" collapsed="false">
      <c r="A17" s="0" t="n">
        <v>13</v>
      </c>
      <c r="B17" s="116" t="n">
        <f aca="false">ProjectStart-WEEKDAY(ProjectStart,3)+84</f>
        <v>46398</v>
      </c>
      <c r="C17" s="116" t="n">
        <f aca="false">B17+4</f>
        <v>46402</v>
      </c>
      <c r="D17" s="117" t="n">
        <f aca="false">SUM(N71:N121)</f>
        <v>59.84</v>
      </c>
      <c r="E17" s="118" t="n">
        <f aca="false">COUNTIFS('WBS Schedule'!$B$7:$B$68,2,'WBS Schedule'!$G$7:$G$68,"&gt;0")-COUNTIFS('WBS Schedule'!$B$7:$B$68,2,'WBS Schedule'!$G$7:$G$68,"&gt;0",'WBS Schedule'!$I$7:$I$68,"&lt;="&amp;C17)</f>
        <v>21</v>
      </c>
      <c r="F17" s="118" t="n">
        <f aca="false">SUMPRODUCT(('WBS Schedule'!AH9:AH18=1)*'WBS Schedule'!$N$9:$N$18)</f>
        <v>0</v>
      </c>
      <c r="G17" s="118" t="n">
        <f aca="false">SUMPRODUCT(('WBS Schedule'!AH21:AH30=1)*'WBS Schedule'!$N$21:$N$30)</f>
        <v>0</v>
      </c>
      <c r="H17" s="118" t="n">
        <f aca="false">SUMPRODUCT(('WBS Schedule'!AH33:AH42=1)*'WBS Schedule'!$N$33:$N$42)</f>
        <v>4</v>
      </c>
      <c r="I17" s="118" t="n">
        <f aca="false">SUMPRODUCT(('WBS Schedule'!AH45:AH54=1)*'WBS Schedule'!$N$45:$N$54)</f>
        <v>6</v>
      </c>
      <c r="J17" s="118" t="n">
        <f aca="false">SUMPRODUCT(('WBS Schedule'!AH57:AH67=1)*'WBS Schedule'!$N$57:$N$67)</f>
        <v>0</v>
      </c>
      <c r="K17" s="0" t="n">
        <v>1</v>
      </c>
      <c r="L17" s="118" t="s">
        <v>130</v>
      </c>
    </row>
    <row r="18" customFormat="false" ht="15" hidden="false" customHeight="false" outlineLevel="0" collapsed="false">
      <c r="A18" s="0" t="n">
        <v>14</v>
      </c>
      <c r="B18" s="116" t="n">
        <f aca="false">ProjectStart-WEEKDAY(ProjectStart,3)+91</f>
        <v>46405</v>
      </c>
      <c r="C18" s="116" t="n">
        <f aca="false">B18+4</f>
        <v>46409</v>
      </c>
      <c r="D18" s="117" t="n">
        <f aca="false">SUM(O71:O121)</f>
        <v>69.44</v>
      </c>
      <c r="E18" s="118" t="n">
        <f aca="false">COUNTIFS('WBS Schedule'!$B$7:$B$68,2,'WBS Schedule'!$G$7:$G$68,"&gt;0")-COUNTIFS('WBS Schedule'!$B$7:$B$68,2,'WBS Schedule'!$G$7:$G$68,"&gt;0",'WBS Schedule'!$I$7:$I$68,"&lt;="&amp;C18)</f>
        <v>17</v>
      </c>
      <c r="F18" s="118" t="n">
        <f aca="false">SUMPRODUCT(('WBS Schedule'!AI9:AI18=1)*'WBS Schedule'!$N$9:$N$18)</f>
        <v>0</v>
      </c>
      <c r="G18" s="118" t="n">
        <f aca="false">SUMPRODUCT(('WBS Schedule'!AI21:AI30=1)*'WBS Schedule'!$N$21:$N$30)</f>
        <v>0</v>
      </c>
      <c r="H18" s="118" t="n">
        <f aca="false">SUMPRODUCT(('WBS Schedule'!AI33:AI42=1)*'WBS Schedule'!$N$33:$N$42)</f>
        <v>0</v>
      </c>
      <c r="I18" s="118" t="n">
        <f aca="false">SUMPRODUCT(('WBS Schedule'!AI45:AI54=1)*'WBS Schedule'!$N$45:$N$54)</f>
        <v>12</v>
      </c>
      <c r="J18" s="118" t="n">
        <f aca="false">SUMPRODUCT(('WBS Schedule'!AI57:AI67=1)*'WBS Schedule'!$N$57:$N$67)</f>
        <v>0</v>
      </c>
      <c r="K18" s="0" t="n">
        <v>1</v>
      </c>
      <c r="L18" s="118" t="s">
        <v>131</v>
      </c>
    </row>
    <row r="19" customFormat="false" ht="15" hidden="false" customHeight="false" outlineLevel="0" collapsed="false">
      <c r="A19" s="0" t="n">
        <v>15</v>
      </c>
      <c r="B19" s="116" t="n">
        <f aca="false">ProjectStart-WEEKDAY(ProjectStart,3)+98</f>
        <v>46412</v>
      </c>
      <c r="C19" s="116" t="n">
        <f aca="false">B19+4</f>
        <v>46416</v>
      </c>
      <c r="D19" s="117" t="n">
        <f aca="false">SUM(P71:P121)</f>
        <v>74.56</v>
      </c>
      <c r="E19" s="118" t="n">
        <f aca="false">COUNTIFS('WBS Schedule'!$B$7:$B$68,2,'WBS Schedule'!$G$7:$G$68,"&gt;0")-COUNTIFS('WBS Schedule'!$B$7:$B$68,2,'WBS Schedule'!$G$7:$G$68,"&gt;0",'WBS Schedule'!$I$7:$I$68,"&lt;="&amp;C19)</f>
        <v>13</v>
      </c>
      <c r="F19" s="118" t="n">
        <f aca="false">SUMPRODUCT(('WBS Schedule'!AJ9:AJ18=1)*'WBS Schedule'!$N$9:$N$18)</f>
        <v>0</v>
      </c>
      <c r="G19" s="118" t="n">
        <f aca="false">SUMPRODUCT(('WBS Schedule'!AJ21:AJ30=1)*'WBS Schedule'!$N$21:$N$30)</f>
        <v>0</v>
      </c>
      <c r="H19" s="118" t="n">
        <f aca="false">SUMPRODUCT(('WBS Schedule'!AJ33:AJ42=1)*'WBS Schedule'!$N$33:$N$42)</f>
        <v>0</v>
      </c>
      <c r="I19" s="118" t="n">
        <f aca="false">SUMPRODUCT(('WBS Schedule'!AJ45:AJ54=1)*'WBS Schedule'!$N$45:$N$54)</f>
        <v>8</v>
      </c>
      <c r="J19" s="118" t="n">
        <f aca="false">SUMPRODUCT(('WBS Schedule'!AJ57:AJ67=1)*'WBS Schedule'!$N$57:$N$67)</f>
        <v>0</v>
      </c>
      <c r="K19" s="0" t="n">
        <v>1</v>
      </c>
      <c r="L19" s="118" t="s">
        <v>132</v>
      </c>
    </row>
    <row r="20" customFormat="false" ht="15" hidden="false" customHeight="false" outlineLevel="0" collapsed="false">
      <c r="A20" s="0" t="n">
        <v>16</v>
      </c>
      <c r="B20" s="116" t="n">
        <f aca="false">ProjectStart-WEEKDAY(ProjectStart,3)+105</f>
        <v>46419</v>
      </c>
      <c r="C20" s="116" t="n">
        <f aca="false">B20+4</f>
        <v>46423</v>
      </c>
      <c r="D20" s="117" t="n">
        <f aca="false">SUM(Q71:Q121)</f>
        <v>79.04</v>
      </c>
      <c r="E20" s="118" t="n">
        <f aca="false">COUNTIFS('WBS Schedule'!$B$7:$B$68,2,'WBS Schedule'!$G$7:$G$68,"&gt;0")-COUNTIFS('WBS Schedule'!$B$7:$B$68,2,'WBS Schedule'!$G$7:$G$68,"&gt;0",'WBS Schedule'!$I$7:$I$68,"&lt;="&amp;C20)</f>
        <v>12</v>
      </c>
      <c r="F20" s="118" t="n">
        <f aca="false">SUMPRODUCT(('WBS Schedule'!AK9:AK18=1)*'WBS Schedule'!$N$9:$N$18)</f>
        <v>0</v>
      </c>
      <c r="G20" s="118" t="n">
        <f aca="false">SUMPRODUCT(('WBS Schedule'!AK21:AK30=1)*'WBS Schedule'!$N$21:$N$30)</f>
        <v>0</v>
      </c>
      <c r="H20" s="118" t="n">
        <f aca="false">SUMPRODUCT(('WBS Schedule'!AK33:AK42=1)*'WBS Schedule'!$N$33:$N$42)</f>
        <v>0</v>
      </c>
      <c r="I20" s="118" t="n">
        <f aca="false">SUMPRODUCT(('WBS Schedule'!AK45:AK54=1)*'WBS Schedule'!$N$45:$N$54)</f>
        <v>6</v>
      </c>
      <c r="J20" s="118" t="n">
        <f aca="false">SUMPRODUCT(('WBS Schedule'!AK57:AK67=1)*'WBS Schedule'!$N$57:$N$67)</f>
        <v>0</v>
      </c>
      <c r="K20" s="0" t="n">
        <v>1</v>
      </c>
      <c r="L20" s="118" t="s">
        <v>133</v>
      </c>
    </row>
    <row r="21" customFormat="false" ht="15" hidden="false" customHeight="false" outlineLevel="0" collapsed="false">
      <c r="A21" s="0" t="n">
        <v>17</v>
      </c>
      <c r="B21" s="116" t="n">
        <f aca="false">ProjectStart-WEEKDAY(ProjectStart,3)+112</f>
        <v>46426</v>
      </c>
      <c r="C21" s="116" t="n">
        <f aca="false">B21+4</f>
        <v>46430</v>
      </c>
      <c r="D21" s="117" t="n">
        <f aca="false">SUM(R71:R121)</f>
        <v>81.6</v>
      </c>
      <c r="E21" s="118" t="n">
        <f aca="false">COUNTIFS('WBS Schedule'!$B$7:$B$68,2,'WBS Schedule'!$G$7:$G$68,"&gt;0")-COUNTIFS('WBS Schedule'!$B$7:$B$68,2,'WBS Schedule'!$G$7:$G$68,"&gt;0",'WBS Schedule'!$I$7:$I$68,"&lt;="&amp;C21)</f>
        <v>11</v>
      </c>
      <c r="F21" s="118" t="n">
        <f aca="false">SUMPRODUCT(('WBS Schedule'!AL9:AL18=1)*'WBS Schedule'!$N$9:$N$18)</f>
        <v>0</v>
      </c>
      <c r="G21" s="118" t="n">
        <f aca="false">SUMPRODUCT(('WBS Schedule'!AL21:AL30=1)*'WBS Schedule'!$N$21:$N$30)</f>
        <v>0</v>
      </c>
      <c r="H21" s="118" t="n">
        <f aca="false">SUMPRODUCT(('WBS Schedule'!AL33:AL42=1)*'WBS Schedule'!$N$33:$N$42)</f>
        <v>0</v>
      </c>
      <c r="I21" s="118" t="n">
        <f aca="false">SUMPRODUCT(('WBS Schedule'!AL45:AL54=1)*'WBS Schedule'!$N$45:$N$54)</f>
        <v>4</v>
      </c>
      <c r="J21" s="118" t="n">
        <f aca="false">SUMPRODUCT(('WBS Schedule'!AL57:AL67=1)*'WBS Schedule'!$N$57:$N$67)</f>
        <v>0</v>
      </c>
      <c r="K21" s="0" t="n">
        <v>1</v>
      </c>
      <c r="L21" s="118" t="s">
        <v>134</v>
      </c>
    </row>
    <row r="22" customFormat="false" ht="15" hidden="false" customHeight="false" outlineLevel="0" collapsed="false">
      <c r="A22" s="0" t="n">
        <v>18</v>
      </c>
      <c r="B22" s="116" t="n">
        <f aca="false">ProjectStart-WEEKDAY(ProjectStart,3)+119</f>
        <v>46433</v>
      </c>
      <c r="C22" s="116" t="n">
        <f aca="false">B22+4</f>
        <v>46437</v>
      </c>
      <c r="D22" s="117" t="n">
        <f aca="false">SUM(S71:S121)</f>
        <v>91.52</v>
      </c>
      <c r="E22" s="118" t="n">
        <f aca="false">COUNTIFS('WBS Schedule'!$B$7:$B$68,2,'WBS Schedule'!$G$7:$G$68,"&gt;0")-COUNTIFS('WBS Schedule'!$B$7:$B$68,2,'WBS Schedule'!$G$7:$G$68,"&gt;0",'WBS Schedule'!$I$7:$I$68,"&lt;="&amp;C22)</f>
        <v>8</v>
      </c>
      <c r="F22" s="118" t="n">
        <f aca="false">SUMPRODUCT(('WBS Schedule'!AM9:AM18=1)*'WBS Schedule'!$N$9:$N$18)</f>
        <v>0</v>
      </c>
      <c r="G22" s="118" t="n">
        <f aca="false">SUMPRODUCT(('WBS Schedule'!AM21:AM30=1)*'WBS Schedule'!$N$21:$N$30)</f>
        <v>0</v>
      </c>
      <c r="H22" s="118" t="n">
        <f aca="false">SUMPRODUCT(('WBS Schedule'!AM33:AM42=1)*'WBS Schedule'!$N$33:$N$42)</f>
        <v>0</v>
      </c>
      <c r="I22" s="118" t="n">
        <f aca="false">SUMPRODUCT(('WBS Schedule'!AM45:AM54=1)*'WBS Schedule'!$N$45:$N$54)</f>
        <v>0</v>
      </c>
      <c r="J22" s="118" t="n">
        <f aca="false">SUMPRODUCT(('WBS Schedule'!AM57:AM67=1)*'WBS Schedule'!$N$57:$N$67)</f>
        <v>11</v>
      </c>
      <c r="K22" s="0" t="n">
        <v>1</v>
      </c>
      <c r="L22" s="118" t="s">
        <v>135</v>
      </c>
    </row>
    <row r="23" customFormat="false" ht="15" hidden="false" customHeight="false" outlineLevel="0" collapsed="false">
      <c r="A23" s="0" t="n">
        <v>19</v>
      </c>
      <c r="B23" s="116" t="n">
        <f aca="false">ProjectStart-WEEKDAY(ProjectStart,3)+126</f>
        <v>46440</v>
      </c>
      <c r="C23" s="116" t="n">
        <f aca="false">B23+4</f>
        <v>46444</v>
      </c>
      <c r="D23" s="117" t="n">
        <f aca="false">SUM(T71:T121)</f>
        <v>96.64</v>
      </c>
      <c r="E23" s="118" t="n">
        <f aca="false">COUNTIFS('WBS Schedule'!$B$7:$B$68,2,'WBS Schedule'!$G$7:$G$68,"&gt;0")-COUNTIFS('WBS Schedule'!$B$7:$B$68,2,'WBS Schedule'!$G$7:$G$68,"&gt;0",'WBS Schedule'!$I$7:$I$68,"&lt;="&amp;C23)</f>
        <v>6</v>
      </c>
      <c r="F23" s="118" t="n">
        <f aca="false">SUMPRODUCT(('WBS Schedule'!AN9:AN18=1)*'WBS Schedule'!$N$9:$N$18)</f>
        <v>0</v>
      </c>
      <c r="G23" s="118" t="n">
        <f aca="false">SUMPRODUCT(('WBS Schedule'!AN21:AN30=1)*'WBS Schedule'!$N$21:$N$30)</f>
        <v>0</v>
      </c>
      <c r="H23" s="118" t="n">
        <f aca="false">SUMPRODUCT(('WBS Schedule'!AN33:AN42=1)*'WBS Schedule'!$N$33:$N$42)</f>
        <v>0</v>
      </c>
      <c r="I23" s="118" t="n">
        <f aca="false">SUMPRODUCT(('WBS Schedule'!AN45:AN54=1)*'WBS Schedule'!$N$45:$N$54)</f>
        <v>0</v>
      </c>
      <c r="J23" s="118" t="n">
        <f aca="false">SUMPRODUCT(('WBS Schedule'!AN57:AN67=1)*'WBS Schedule'!$N$57:$N$67)</f>
        <v>10</v>
      </c>
      <c r="K23" s="0" t="n">
        <v>1</v>
      </c>
      <c r="L23" s="118" t="s">
        <v>136</v>
      </c>
    </row>
    <row r="24" customFormat="false" ht="15" hidden="false" customHeight="false" outlineLevel="0" collapsed="false">
      <c r="A24" s="0" t="n">
        <v>20</v>
      </c>
      <c r="B24" s="116" t="n">
        <f aca="false">ProjectStart-WEEKDAY(ProjectStart,3)+133</f>
        <v>46447</v>
      </c>
      <c r="C24" s="116" t="n">
        <f aca="false">B24+4</f>
        <v>46451</v>
      </c>
      <c r="D24" s="117" t="n">
        <f aca="false">SUM(U71:U121)</f>
        <v>101.12</v>
      </c>
      <c r="E24" s="118" t="n">
        <f aca="false">COUNTIFS('WBS Schedule'!$B$7:$B$68,2,'WBS Schedule'!$G$7:$G$68,"&gt;0")-COUNTIFS('WBS Schedule'!$B$7:$B$68,2,'WBS Schedule'!$G$7:$G$68,"&gt;0",'WBS Schedule'!$I$7:$I$68,"&lt;="&amp;C24)</f>
        <v>4</v>
      </c>
      <c r="F24" s="118" t="n">
        <f aca="false">SUMPRODUCT(('WBS Schedule'!AO9:AO18=1)*'WBS Schedule'!$N$9:$N$18)</f>
        <v>0</v>
      </c>
      <c r="G24" s="118" t="n">
        <f aca="false">SUMPRODUCT(('WBS Schedule'!AO21:AO30=1)*'WBS Schedule'!$N$21:$N$30)</f>
        <v>0</v>
      </c>
      <c r="H24" s="118" t="n">
        <f aca="false">SUMPRODUCT(('WBS Schedule'!AO33:AO42=1)*'WBS Schedule'!$N$33:$N$42)</f>
        <v>0</v>
      </c>
      <c r="I24" s="118" t="n">
        <f aca="false">SUMPRODUCT(('WBS Schedule'!AO45:AO54=1)*'WBS Schedule'!$N$45:$N$54)</f>
        <v>0</v>
      </c>
      <c r="J24" s="118" t="n">
        <f aca="false">SUMPRODUCT(('WBS Schedule'!AO57:AO67=1)*'WBS Schedule'!$N$57:$N$67)</f>
        <v>8</v>
      </c>
      <c r="K24" s="0" t="n">
        <v>1</v>
      </c>
      <c r="L24" s="118" t="s">
        <v>137</v>
      </c>
    </row>
    <row r="25" customFormat="false" ht="15" hidden="false" customHeight="false" outlineLevel="0" collapsed="false">
      <c r="A25" s="0" t="n">
        <v>21</v>
      </c>
      <c r="B25" s="116" t="n">
        <f aca="false">ProjectStart-WEEKDAY(ProjectStart,3)+140</f>
        <v>46454</v>
      </c>
      <c r="C25" s="116" t="n">
        <f aca="false">B25+4</f>
        <v>46458</v>
      </c>
      <c r="D25" s="117" t="n">
        <f aca="false">SUM(V71:V121)</f>
        <v>105.6</v>
      </c>
      <c r="E25" s="118" t="n">
        <f aca="false">COUNTIFS('WBS Schedule'!$B$7:$B$68,2,'WBS Schedule'!$G$7:$G$68,"&gt;0")-COUNTIFS('WBS Schedule'!$B$7:$B$68,2,'WBS Schedule'!$G$7:$G$68,"&gt;0",'WBS Schedule'!$I$7:$I$68,"&lt;="&amp;C25)</f>
        <v>0</v>
      </c>
      <c r="F25" s="118" t="n">
        <f aca="false">SUMPRODUCT(('WBS Schedule'!AP9:AP18=1)*'WBS Schedule'!$N$9:$N$18)</f>
        <v>0</v>
      </c>
      <c r="G25" s="118" t="n">
        <f aca="false">SUMPRODUCT(('WBS Schedule'!AP21:AP30=1)*'WBS Schedule'!$N$21:$N$30)</f>
        <v>0</v>
      </c>
      <c r="H25" s="118" t="n">
        <f aca="false">SUMPRODUCT(('WBS Schedule'!AP33:AP42=1)*'WBS Schedule'!$N$33:$N$42)</f>
        <v>0</v>
      </c>
      <c r="I25" s="118" t="n">
        <f aca="false">SUMPRODUCT(('WBS Schedule'!AP45:AP54=1)*'WBS Schedule'!$N$45:$N$54)</f>
        <v>0</v>
      </c>
      <c r="J25" s="118" t="n">
        <f aca="false">SUMPRODUCT(('WBS Schedule'!AP57:AP67=1)*'WBS Schedule'!$N$57:$N$67)</f>
        <v>8</v>
      </c>
      <c r="K25" s="0" t="n">
        <v>1</v>
      </c>
      <c r="L25" s="118" t="s">
        <v>138</v>
      </c>
    </row>
    <row r="28" customFormat="false" ht="23.85" hidden="false" customHeight="false" outlineLevel="0" collapsed="false">
      <c r="A28" s="44" t="s">
        <v>50</v>
      </c>
      <c r="B28" s="44" t="s">
        <v>57</v>
      </c>
      <c r="C28" s="44" t="s">
        <v>58</v>
      </c>
      <c r="D28" s="44" t="s">
        <v>677</v>
      </c>
      <c r="E28" s="44" t="s">
        <v>678</v>
      </c>
      <c r="F28" s="44" t="s">
        <v>679</v>
      </c>
      <c r="G28" s="44" t="s">
        <v>680</v>
      </c>
      <c r="H28" s="44" t="s">
        <v>681</v>
      </c>
      <c r="I28" s="44" t="s">
        <v>682</v>
      </c>
      <c r="J28" s="44" t="s">
        <v>47</v>
      </c>
    </row>
    <row r="29" customFormat="false" ht="15" hidden="false" customHeight="false" outlineLevel="0" collapsed="false">
      <c r="A29" s="119" t="s">
        <v>59</v>
      </c>
      <c r="B29" s="120" t="n">
        <f aca="false">'WBS Schedule'!J8</f>
        <v>1</v>
      </c>
      <c r="C29" s="120" t="n">
        <f aca="false">'WBS Schedule'!K8</f>
        <v>1</v>
      </c>
      <c r="D29" s="117" t="n">
        <f aca="false">'WBS Schedule'!P8</f>
        <v>16.96</v>
      </c>
      <c r="E29" s="117" t="n">
        <f aca="false">'WBS Schedule'!R8</f>
        <v>16.96</v>
      </c>
      <c r="F29" s="117" t="n">
        <f aca="false">'WBS Schedule'!S8</f>
        <v>16.26</v>
      </c>
      <c r="G29" s="121" t="n">
        <f aca="false">'WBS Schedule'!H8-ProjectStart</f>
        <v>0</v>
      </c>
      <c r="H29" s="121" t="n">
        <f aca="false">('WBS Schedule'!I8-'WBS Schedule'!H8+1)*C29</f>
        <v>29</v>
      </c>
      <c r="I29" s="121" t="n">
        <f aca="false">('WBS Schedule'!I8-'WBS Schedule'!H8+1)-H29</f>
        <v>0</v>
      </c>
      <c r="J29" s="119" t="str">
        <f aca="false">'WBS Schedule'!M8</f>
        <v>Complete</v>
      </c>
    </row>
    <row r="30" customFormat="false" ht="15" hidden="false" customHeight="false" outlineLevel="0" collapsed="false">
      <c r="A30" s="119" t="s">
        <v>60</v>
      </c>
      <c r="B30" s="120" t="n">
        <f aca="false">'WBS Schedule'!J20</f>
        <v>1</v>
      </c>
      <c r="C30" s="120" t="n">
        <f aca="false">'WBS Schedule'!K20</f>
        <v>1</v>
      </c>
      <c r="D30" s="117" t="n">
        <f aca="false">'WBS Schedule'!P20</f>
        <v>17.28</v>
      </c>
      <c r="E30" s="117" t="n">
        <f aca="false">'WBS Schedule'!R20</f>
        <v>17.28</v>
      </c>
      <c r="F30" s="117" t="n">
        <f aca="false">'WBS Schedule'!S20</f>
        <v>17.9</v>
      </c>
      <c r="G30" s="121" t="n">
        <f aca="false">'WBS Schedule'!H20-ProjectStart</f>
        <v>29</v>
      </c>
      <c r="H30" s="121" t="n">
        <f aca="false">('WBS Schedule'!I20-'WBS Schedule'!H20+1)*C30</f>
        <v>29</v>
      </c>
      <c r="I30" s="121" t="n">
        <f aca="false">('WBS Schedule'!I20-'WBS Schedule'!H20+1)-H30</f>
        <v>0</v>
      </c>
      <c r="J30" s="119" t="str">
        <f aca="false">'WBS Schedule'!M20</f>
        <v>Complete</v>
      </c>
    </row>
    <row r="31" customFormat="false" ht="15" hidden="false" customHeight="false" outlineLevel="0" collapsed="false">
      <c r="A31" s="119" t="s">
        <v>61</v>
      </c>
      <c r="B31" s="120" t="n">
        <f aca="false">'WBS Schedule'!J32</f>
        <v>1</v>
      </c>
      <c r="C31" s="120" t="n">
        <f aca="false">'WBS Schedule'!K32</f>
        <v>0.844594594594595</v>
      </c>
      <c r="D31" s="117" t="n">
        <f aca="false">'WBS Schedule'!P32</f>
        <v>23.68</v>
      </c>
      <c r="E31" s="117" t="n">
        <f aca="false">'WBS Schedule'!R32</f>
        <v>20</v>
      </c>
      <c r="F31" s="117" t="n">
        <f aca="false">'WBS Schedule'!S32</f>
        <v>22.28</v>
      </c>
      <c r="G31" s="121" t="n">
        <f aca="false">'WBS Schedule'!H32-ProjectStart</f>
        <v>58</v>
      </c>
      <c r="H31" s="121" t="n">
        <f aca="false">('WBS Schedule'!I32-'WBS Schedule'!H32+1)*C31</f>
        <v>25.3378378378378</v>
      </c>
      <c r="I31" s="121" t="n">
        <f aca="false">('WBS Schedule'!I32-'WBS Schedule'!H32+1)-H31</f>
        <v>4.66216216216216</v>
      </c>
      <c r="J31" s="119" t="str">
        <f aca="false">'WBS Schedule'!M32</f>
        <v>Overdue</v>
      </c>
    </row>
    <row r="32" customFormat="false" ht="15" hidden="false" customHeight="false" outlineLevel="0" collapsed="false">
      <c r="A32" s="119" t="s">
        <v>62</v>
      </c>
      <c r="B32" s="120" t="n">
        <f aca="false">'WBS Schedule'!J44</f>
        <v>0.0810810810810811</v>
      </c>
      <c r="C32" s="120" t="n">
        <f aca="false">'WBS Schedule'!K44</f>
        <v>0.0918918918918919</v>
      </c>
      <c r="D32" s="117" t="n">
        <f aca="false">'WBS Schedule'!P44</f>
        <v>23.68</v>
      </c>
      <c r="E32" s="117" t="n">
        <f aca="false">'WBS Schedule'!R44</f>
        <v>2.176</v>
      </c>
      <c r="F32" s="117" t="n">
        <f aca="false">'WBS Schedule'!S44</f>
        <v>2.18</v>
      </c>
      <c r="G32" s="121" t="n">
        <f aca="false">'WBS Schedule'!H44-ProjectStart</f>
        <v>88</v>
      </c>
      <c r="H32" s="121" t="n">
        <f aca="false">('WBS Schedule'!I44-'WBS Schedule'!H44+1)*C32</f>
        <v>2.66486486486487</v>
      </c>
      <c r="I32" s="121" t="n">
        <f aca="false">('WBS Schedule'!I44-'WBS Schedule'!H44+1)-H32</f>
        <v>26.3351351351351</v>
      </c>
      <c r="J32" s="119" t="str">
        <f aca="false">'WBS Schedule'!M44</f>
        <v>In Progress</v>
      </c>
    </row>
    <row r="33" customFormat="false" ht="15" hidden="false" customHeight="false" outlineLevel="0" collapsed="false">
      <c r="A33" s="119" t="s">
        <v>63</v>
      </c>
      <c r="B33" s="120" t="n">
        <f aca="false">'WBS Schedule'!J56</f>
        <v>0</v>
      </c>
      <c r="C33" s="120" t="n">
        <f aca="false">'WBS Schedule'!K56</f>
        <v>0</v>
      </c>
      <c r="D33" s="117" t="n">
        <f aca="false">'WBS Schedule'!P56</f>
        <v>24</v>
      </c>
      <c r="E33" s="117" t="n">
        <f aca="false">'WBS Schedule'!R56</f>
        <v>0</v>
      </c>
      <c r="F33" s="117" t="n">
        <f aca="false">'WBS Schedule'!S56</f>
        <v>0</v>
      </c>
      <c r="G33" s="121" t="n">
        <f aca="false">'WBS Schedule'!H56-ProjectStart</f>
        <v>119</v>
      </c>
      <c r="H33" s="121" t="n">
        <f aca="false">('WBS Schedule'!I56-'WBS Schedule'!H56+1)*C33</f>
        <v>0</v>
      </c>
      <c r="I33" s="121" t="n">
        <f aca="false">('WBS Schedule'!I56-'WBS Schedule'!H56+1)-H33</f>
        <v>26</v>
      </c>
      <c r="J33" s="119" t="str">
        <f aca="false">'WBS Schedule'!M56</f>
        <v>Not Started</v>
      </c>
    </row>
    <row r="36" customFormat="false" ht="15" hidden="false" customHeight="false" outlineLevel="0" collapsed="false">
      <c r="A36" s="44" t="s">
        <v>683</v>
      </c>
      <c r="B36" s="44" t="s">
        <v>684</v>
      </c>
    </row>
    <row r="37" customFormat="false" ht="15" hidden="false" customHeight="false" outlineLevel="0" collapsed="false">
      <c r="A37" s="0" t="s">
        <v>685</v>
      </c>
      <c r="B37" s="0" t="n">
        <f aca="false">COUNTIFS('WBS Schedule'!$B$7:$B$68,2,'WBS Schedule'!$G$7:$G$68,"&gt;0",'WBS Schedule'!$M$7:$M$68,"Complete")</f>
        <v>27</v>
      </c>
    </row>
    <row r="38" customFormat="false" ht="15" hidden="false" customHeight="false" outlineLevel="0" collapsed="false">
      <c r="A38" s="0" t="s">
        <v>686</v>
      </c>
      <c r="B38" s="0" t="n">
        <f aca="false">COUNTIFS('WBS Schedule'!$B$7:$B$68,2,'WBS Schedule'!$G$7:$G$68,"&gt;0",'WBS Schedule'!$M$7:$M$68,"In Progress")</f>
        <v>2</v>
      </c>
    </row>
    <row r="39" customFormat="false" ht="15" hidden="false" customHeight="false" outlineLevel="0" collapsed="false">
      <c r="A39" s="0" t="s">
        <v>687</v>
      </c>
      <c r="B39" s="0" t="n">
        <f aca="false">COUNTIFS('WBS Schedule'!$B$7:$B$68,2,'WBS Schedule'!$G$7:$G$68,"&gt;0",'WBS Schedule'!$M$7:$M$68,"Behind")</f>
        <v>0</v>
      </c>
    </row>
    <row r="40" customFormat="false" ht="15" hidden="false" customHeight="false" outlineLevel="0" collapsed="false">
      <c r="A40" s="0" t="s">
        <v>688</v>
      </c>
      <c r="B40" s="0" t="n">
        <f aca="false">COUNTIFS('WBS Schedule'!$B$7:$B$68,2,'WBS Schedule'!$G$7:$G$68,"&gt;0",'WBS Schedule'!$M$7:$M$68,"Overdue")</f>
        <v>4</v>
      </c>
    </row>
    <row r="41" customFormat="false" ht="15" hidden="false" customHeight="false" outlineLevel="0" collapsed="false">
      <c r="A41" s="0" t="s">
        <v>689</v>
      </c>
      <c r="B41" s="0" t="n">
        <f aca="false">COUNTIFS('WBS Schedule'!$B$7:$B$68,2,'WBS Schedule'!$G$7:$G$68,"&gt;0",'WBS Schedule'!$M$7:$M$68,"Late Start")</f>
        <v>0</v>
      </c>
    </row>
    <row r="42" customFormat="false" ht="15" hidden="false" customHeight="false" outlineLevel="0" collapsed="false">
      <c r="A42" s="0" t="s">
        <v>690</v>
      </c>
      <c r="B42" s="0" t="n">
        <f aca="false">COUNTIFS('WBS Schedule'!$B$7:$B$68,2,'WBS Schedule'!$G$7:$G$68,"&gt;0",'WBS Schedule'!$M$7:$M$68,"Not Started")</f>
        <v>18</v>
      </c>
    </row>
    <row r="45" customFormat="false" ht="15" hidden="false" customHeight="false" outlineLevel="0" collapsed="false">
      <c r="A45" s="44" t="s">
        <v>691</v>
      </c>
      <c r="B45" s="44" t="s">
        <v>684</v>
      </c>
    </row>
    <row r="46" customFormat="false" ht="15" hidden="false" customHeight="false" outlineLevel="0" collapsed="false">
      <c r="A46" s="0" t="s">
        <v>692</v>
      </c>
      <c r="B46" s="0" t="n">
        <f aca="false">COUNTIFS('RAID Log'!$B$5:$B$22,"Risk",'RAID Log'!$H$5:$H$22,"High",'RAID Log'!$K$5:$K$22,"&lt;&gt;Closed")</f>
        <v>2</v>
      </c>
    </row>
    <row r="47" customFormat="false" ht="15" hidden="false" customHeight="false" outlineLevel="0" collapsed="false">
      <c r="A47" s="0" t="s">
        <v>693</v>
      </c>
      <c r="B47" s="0" t="n">
        <f aca="false">COUNTIFS('RAID Log'!$B$5:$B$22,"Risk",'RAID Log'!$H$5:$H$22,"Medium",'RAID Log'!$K$5:$K$22,"&lt;&gt;Closed")</f>
        <v>6</v>
      </c>
    </row>
    <row r="48" customFormat="false" ht="15" hidden="false" customHeight="false" outlineLevel="0" collapsed="false">
      <c r="A48" s="0" t="s">
        <v>694</v>
      </c>
      <c r="B48" s="0" t="n">
        <f aca="false">COUNTIFS('RAID Log'!$B$5:$B$22,"Risk",'RAID Log'!$H$5:$H$22,"Low",'RAID Log'!$K$5:$K$22,"&lt;&gt;Closed")</f>
        <v>2</v>
      </c>
    </row>
    <row r="52" customFormat="false" ht="15" hidden="false" customHeight="false" outlineLevel="0" collapsed="false">
      <c r="A52" s="44" t="s">
        <v>695</v>
      </c>
      <c r="B52" s="44" t="s">
        <v>567</v>
      </c>
      <c r="C52" s="44" t="s">
        <v>577</v>
      </c>
      <c r="D52" s="44" t="s">
        <v>572</v>
      </c>
      <c r="E52" s="44" t="s">
        <v>619</v>
      </c>
    </row>
    <row r="53" customFormat="false" ht="15" hidden="false" customHeight="false" outlineLevel="0" collapsed="false">
      <c r="A53" s="0" t="s">
        <v>563</v>
      </c>
      <c r="B53" s="0" t="n">
        <f aca="false">COUNTIFS('RAID Log'!$B$5:$B$22,"Risk",'RAID Log'!$K$5:$K$22,"Open")</f>
        <v>5</v>
      </c>
      <c r="C53" s="0" t="n">
        <f aca="false">COUNTIFS('RAID Log'!$B$5:$B$22,"Risk",'RAID Log'!$K$5:$K$22,"Monitoring")</f>
        <v>3</v>
      </c>
      <c r="D53" s="0" t="n">
        <f aca="false">COUNTIFS('RAID Log'!$B$5:$B$22,"Risk",'RAID Log'!$K$5:$K$22,"Mitigated")</f>
        <v>2</v>
      </c>
      <c r="E53" s="0" t="n">
        <f aca="false">COUNTIFS('RAID Log'!$B$5:$B$22,"Risk",'RAID Log'!$K$5:$K$22,"Closed")</f>
        <v>0</v>
      </c>
    </row>
    <row r="54" customFormat="false" ht="15" hidden="false" customHeight="false" outlineLevel="0" collapsed="false">
      <c r="A54" s="0" t="s">
        <v>606</v>
      </c>
      <c r="B54" s="0" t="n">
        <f aca="false">COUNTIFS('RAID Log'!$B$5:$B$22,"Issue",'RAID Log'!$K$5:$K$22,"Open")</f>
        <v>2</v>
      </c>
      <c r="C54" s="0" t="n">
        <f aca="false">COUNTIFS('RAID Log'!$B$5:$B$22,"Issue",'RAID Log'!$K$5:$K$22,"Monitoring")</f>
        <v>1</v>
      </c>
      <c r="D54" s="0" t="n">
        <f aca="false">COUNTIFS('RAID Log'!$B$5:$B$22,"Issue",'RAID Log'!$K$5:$K$22,"Mitigated")</f>
        <v>0</v>
      </c>
      <c r="E54" s="0" t="n">
        <f aca="false">COUNTIFS('RAID Log'!$B$5:$B$22,"Issue",'RAID Log'!$K$5:$K$22,"Closed")</f>
        <v>0</v>
      </c>
    </row>
    <row r="55" customFormat="false" ht="15" hidden="false" customHeight="false" outlineLevel="0" collapsed="false">
      <c r="A55" s="0" t="s">
        <v>616</v>
      </c>
      <c r="B55" s="0" t="n">
        <f aca="false">COUNTIFS('RAID Log'!$B$5:$B$22,"Assumption",'RAID Log'!$K$5:$K$22,"Open")</f>
        <v>0</v>
      </c>
      <c r="C55" s="0" t="n">
        <f aca="false">COUNTIFS('RAID Log'!$B$5:$B$22,"Assumption",'RAID Log'!$K$5:$K$22,"Monitoring")</f>
        <v>0</v>
      </c>
      <c r="D55" s="0" t="n">
        <f aca="false">COUNTIFS('RAID Log'!$B$5:$B$22,"Assumption",'RAID Log'!$K$5:$K$22,"Mitigated")</f>
        <v>0</v>
      </c>
      <c r="E55" s="0" t="n">
        <f aca="false">COUNTIFS('RAID Log'!$B$5:$B$22,"Assumption",'RAID Log'!$K$5:$K$22,"Closed")</f>
        <v>2</v>
      </c>
    </row>
    <row r="56" customFormat="false" ht="15" hidden="false" customHeight="false" outlineLevel="0" collapsed="false">
      <c r="A56" s="0" t="s">
        <v>624</v>
      </c>
      <c r="B56" s="0" t="n">
        <f aca="false">COUNTIFS('RAID Log'!$B$5:$B$22,"Dependency",'RAID Log'!$K$5:$K$22,"Open")</f>
        <v>2</v>
      </c>
      <c r="C56" s="0" t="n">
        <f aca="false">COUNTIFS('RAID Log'!$B$5:$B$22,"Dependency",'RAID Log'!$K$5:$K$22,"Monitoring")</f>
        <v>1</v>
      </c>
      <c r="D56" s="0" t="n">
        <f aca="false">COUNTIFS('RAID Log'!$B$5:$B$22,"Dependency",'RAID Log'!$K$5:$K$22,"Mitigated")</f>
        <v>0</v>
      </c>
      <c r="E56" s="0" t="n">
        <f aca="false">COUNTIFS('RAID Log'!$B$5:$B$22,"Dependency",'RAID Log'!$K$5:$K$22,"Closed")</f>
        <v>0</v>
      </c>
    </row>
    <row r="69" customFormat="false" ht="15" hidden="false" customHeight="false" outlineLevel="0" collapsed="false">
      <c r="A69" s="122" t="s">
        <v>696</v>
      </c>
    </row>
    <row r="70" customFormat="false" ht="15" hidden="false" customHeight="false" outlineLevel="0" collapsed="false">
      <c r="A70" s="44" t="s">
        <v>139</v>
      </c>
      <c r="B70" s="44" t="s">
        <v>118</v>
      </c>
      <c r="C70" s="44" t="s">
        <v>119</v>
      </c>
      <c r="D70" s="44" t="s">
        <v>120</v>
      </c>
      <c r="E70" s="44" t="s">
        <v>121</v>
      </c>
      <c r="F70" s="44" t="s">
        <v>122</v>
      </c>
      <c r="G70" s="44" t="s">
        <v>123</v>
      </c>
      <c r="H70" s="44" t="s">
        <v>124</v>
      </c>
      <c r="I70" s="44" t="s">
        <v>125</v>
      </c>
      <c r="J70" s="44" t="s">
        <v>126</v>
      </c>
      <c r="K70" s="44" t="s">
        <v>127</v>
      </c>
      <c r="L70" s="44" t="s">
        <v>128</v>
      </c>
      <c r="M70" s="44" t="s">
        <v>129</v>
      </c>
      <c r="N70" s="44" t="s">
        <v>130</v>
      </c>
      <c r="O70" s="44" t="s">
        <v>131</v>
      </c>
      <c r="P70" s="44" t="s">
        <v>132</v>
      </c>
      <c r="Q70" s="44" t="s">
        <v>133</v>
      </c>
      <c r="R70" s="44" t="s">
        <v>134</v>
      </c>
      <c r="S70" s="44" t="s">
        <v>135</v>
      </c>
      <c r="T70" s="44" t="s">
        <v>136</v>
      </c>
      <c r="U70" s="44" t="s">
        <v>137</v>
      </c>
      <c r="V70" s="44" t="s">
        <v>138</v>
      </c>
    </row>
    <row r="71" customFormat="false" ht="15" hidden="false" customHeight="false" outlineLevel="0" collapsed="false">
      <c r="A71" s="0" t="str">
        <f aca="false">'WBS Schedule'!A9</f>
        <v>1.1</v>
      </c>
      <c r="B71" s="123" t="n">
        <f aca="false">IF($C$5&lt;'WBS Schedule'!$H$9,0,MIN(1,NETWORKDAYS('WBS Schedule'!$H$9,$C$5,Holidays)/'WBS Schedule'!$G$9))*'WBS Schedule'!$P$9</f>
        <v>1.92</v>
      </c>
      <c r="C71" s="123" t="n">
        <f aca="false">IF($C$6&lt;'WBS Schedule'!$H$9,0,MIN(1,NETWORKDAYS('WBS Schedule'!$H$9,$C$6,Holidays)/'WBS Schedule'!$G$9))*'WBS Schedule'!$P$9</f>
        <v>1.92</v>
      </c>
      <c r="D71" s="123" t="n">
        <f aca="false">IF($C$7&lt;'WBS Schedule'!$H$9,0,MIN(1,NETWORKDAYS('WBS Schedule'!$H$9,$C$7,Holidays)/'WBS Schedule'!$G$9))*'WBS Schedule'!$P$9</f>
        <v>1.92</v>
      </c>
      <c r="E71" s="123" t="n">
        <f aca="false">IF($C$8&lt;'WBS Schedule'!$H$9,0,MIN(1,NETWORKDAYS('WBS Schedule'!$H$9,$C$8,Holidays)/'WBS Schedule'!$G$9))*'WBS Schedule'!$P$9</f>
        <v>1.92</v>
      </c>
      <c r="F71" s="123" t="n">
        <f aca="false">IF($C$9&lt;'WBS Schedule'!$H$9,0,MIN(1,NETWORKDAYS('WBS Schedule'!$H$9,$C$9,Holidays)/'WBS Schedule'!$G$9))*'WBS Schedule'!$P$9</f>
        <v>1.92</v>
      </c>
      <c r="G71" s="123" t="n">
        <f aca="false">IF($C$10&lt;'WBS Schedule'!$H$9,0,MIN(1,NETWORKDAYS('WBS Schedule'!$H$9,$C$10,Holidays)/'WBS Schedule'!$G$9))*'WBS Schedule'!$P$9</f>
        <v>1.92</v>
      </c>
      <c r="H71" s="123" t="n">
        <f aca="false">IF($C$11&lt;'WBS Schedule'!$H$9,0,MIN(1,NETWORKDAYS('WBS Schedule'!$H$9,$C$11,Holidays)/'WBS Schedule'!$G$9))*'WBS Schedule'!$P$9</f>
        <v>1.92</v>
      </c>
      <c r="I71" s="123" t="n">
        <f aca="false">IF($C$12&lt;'WBS Schedule'!$H$9,0,MIN(1,NETWORKDAYS('WBS Schedule'!$H$9,$C$12,Holidays)/'WBS Schedule'!$G$9))*'WBS Schedule'!$P$9</f>
        <v>1.92</v>
      </c>
      <c r="J71" s="123" t="n">
        <f aca="false">IF($C$13&lt;'WBS Schedule'!$H$9,0,MIN(1,NETWORKDAYS('WBS Schedule'!$H$9,$C$13,Holidays)/'WBS Schedule'!$G$9))*'WBS Schedule'!$P$9</f>
        <v>1.92</v>
      </c>
      <c r="K71" s="123" t="n">
        <f aca="false">IF($C$14&lt;'WBS Schedule'!$H$9,0,MIN(1,NETWORKDAYS('WBS Schedule'!$H$9,$C$14,Holidays)/'WBS Schedule'!$G$9))*'WBS Schedule'!$P$9</f>
        <v>1.92</v>
      </c>
      <c r="L71" s="123" t="n">
        <f aca="false">IF($C$15&lt;'WBS Schedule'!$H$9,0,MIN(1,NETWORKDAYS('WBS Schedule'!$H$9,$C$15,Holidays)/'WBS Schedule'!$G$9))*'WBS Schedule'!$P$9</f>
        <v>1.92</v>
      </c>
      <c r="M71" s="123" t="n">
        <f aca="false">IF($C$16&lt;'WBS Schedule'!$H$9,0,MIN(1,NETWORKDAYS('WBS Schedule'!$H$9,$C$16,Holidays)/'WBS Schedule'!$G$9))*'WBS Schedule'!$P$9</f>
        <v>1.92</v>
      </c>
      <c r="N71" s="123" t="n">
        <f aca="false">IF($C$17&lt;'WBS Schedule'!$H$9,0,MIN(1,NETWORKDAYS('WBS Schedule'!$H$9,$C$17,Holidays)/'WBS Schedule'!$G$9))*'WBS Schedule'!$P$9</f>
        <v>1.92</v>
      </c>
      <c r="O71" s="123" t="n">
        <f aca="false">IF($C$18&lt;'WBS Schedule'!$H$9,0,MIN(1,NETWORKDAYS('WBS Schedule'!$H$9,$C$18,Holidays)/'WBS Schedule'!$G$9))*'WBS Schedule'!$P$9</f>
        <v>1.92</v>
      </c>
      <c r="P71" s="123" t="n">
        <f aca="false">IF($C$19&lt;'WBS Schedule'!$H$9,0,MIN(1,NETWORKDAYS('WBS Schedule'!$H$9,$C$19,Holidays)/'WBS Schedule'!$G$9))*'WBS Schedule'!$P$9</f>
        <v>1.92</v>
      </c>
      <c r="Q71" s="123" t="n">
        <f aca="false">IF($C$20&lt;'WBS Schedule'!$H$9,0,MIN(1,NETWORKDAYS('WBS Schedule'!$H$9,$C$20,Holidays)/'WBS Schedule'!$G$9))*'WBS Schedule'!$P$9</f>
        <v>1.92</v>
      </c>
      <c r="R71" s="123" t="n">
        <f aca="false">IF($C$21&lt;'WBS Schedule'!$H$9,0,MIN(1,NETWORKDAYS('WBS Schedule'!$H$9,$C$21,Holidays)/'WBS Schedule'!$G$9))*'WBS Schedule'!$P$9</f>
        <v>1.92</v>
      </c>
      <c r="S71" s="123" t="n">
        <f aca="false">IF($C$22&lt;'WBS Schedule'!$H$9,0,MIN(1,NETWORKDAYS('WBS Schedule'!$H$9,$C$22,Holidays)/'WBS Schedule'!$G$9))*'WBS Schedule'!$P$9</f>
        <v>1.92</v>
      </c>
      <c r="T71" s="123" t="n">
        <f aca="false">IF($C$23&lt;'WBS Schedule'!$H$9,0,MIN(1,NETWORKDAYS('WBS Schedule'!$H$9,$C$23,Holidays)/'WBS Schedule'!$G$9))*'WBS Schedule'!$P$9</f>
        <v>1.92</v>
      </c>
      <c r="U71" s="123" t="n">
        <f aca="false">IF($C$24&lt;'WBS Schedule'!$H$9,0,MIN(1,NETWORKDAYS('WBS Schedule'!$H$9,$C$24,Holidays)/'WBS Schedule'!$G$9))*'WBS Schedule'!$P$9</f>
        <v>1.92</v>
      </c>
      <c r="V71" s="123" t="n">
        <f aca="false">IF($C$25&lt;'WBS Schedule'!$H$9,0,MIN(1,NETWORKDAYS('WBS Schedule'!$H$9,$C$25,Holidays)/'WBS Schedule'!$G$9))*'WBS Schedule'!$P$9</f>
        <v>1.92</v>
      </c>
    </row>
    <row r="72" customFormat="false" ht="15" hidden="false" customHeight="false" outlineLevel="0" collapsed="false">
      <c r="A72" s="0" t="str">
        <f aca="false">'WBS Schedule'!A10</f>
        <v>1.2</v>
      </c>
      <c r="B72" s="123" t="n">
        <f aca="false">IF($C$5&lt;'WBS Schedule'!$H$10,0,MIN(1,NETWORKDAYS('WBS Schedule'!$H$10,$C$5,Holidays)/'WBS Schedule'!$G$10))*'WBS Schedule'!$P$10</f>
        <v>1.28</v>
      </c>
      <c r="C72" s="123" t="n">
        <f aca="false">IF($C$6&lt;'WBS Schedule'!$H$10,0,MIN(1,NETWORKDAYS('WBS Schedule'!$H$10,$C$6,Holidays)/'WBS Schedule'!$G$10))*'WBS Schedule'!$P$10</f>
        <v>1.28</v>
      </c>
      <c r="D72" s="123" t="n">
        <f aca="false">IF($C$7&lt;'WBS Schedule'!$H$10,0,MIN(1,NETWORKDAYS('WBS Schedule'!$H$10,$C$7,Holidays)/'WBS Schedule'!$G$10))*'WBS Schedule'!$P$10</f>
        <v>1.28</v>
      </c>
      <c r="E72" s="123" t="n">
        <f aca="false">IF($C$8&lt;'WBS Schedule'!$H$10,0,MIN(1,NETWORKDAYS('WBS Schedule'!$H$10,$C$8,Holidays)/'WBS Schedule'!$G$10))*'WBS Schedule'!$P$10</f>
        <v>1.28</v>
      </c>
      <c r="F72" s="123" t="n">
        <f aca="false">IF($C$9&lt;'WBS Schedule'!$H$10,0,MIN(1,NETWORKDAYS('WBS Schedule'!$H$10,$C$9,Holidays)/'WBS Schedule'!$G$10))*'WBS Schedule'!$P$10</f>
        <v>1.28</v>
      </c>
      <c r="G72" s="123" t="n">
        <f aca="false">IF($C$10&lt;'WBS Schedule'!$H$10,0,MIN(1,NETWORKDAYS('WBS Schedule'!$H$10,$C$10,Holidays)/'WBS Schedule'!$G$10))*'WBS Schedule'!$P$10</f>
        <v>1.28</v>
      </c>
      <c r="H72" s="123" t="n">
        <f aca="false">IF($C$11&lt;'WBS Schedule'!$H$10,0,MIN(1,NETWORKDAYS('WBS Schedule'!$H$10,$C$11,Holidays)/'WBS Schedule'!$G$10))*'WBS Schedule'!$P$10</f>
        <v>1.28</v>
      </c>
      <c r="I72" s="123" t="n">
        <f aca="false">IF($C$12&lt;'WBS Schedule'!$H$10,0,MIN(1,NETWORKDAYS('WBS Schedule'!$H$10,$C$12,Holidays)/'WBS Schedule'!$G$10))*'WBS Schedule'!$P$10</f>
        <v>1.28</v>
      </c>
      <c r="J72" s="123" t="n">
        <f aca="false">IF($C$13&lt;'WBS Schedule'!$H$10,0,MIN(1,NETWORKDAYS('WBS Schedule'!$H$10,$C$13,Holidays)/'WBS Schedule'!$G$10))*'WBS Schedule'!$P$10</f>
        <v>1.28</v>
      </c>
      <c r="K72" s="123" t="n">
        <f aca="false">IF($C$14&lt;'WBS Schedule'!$H$10,0,MIN(1,NETWORKDAYS('WBS Schedule'!$H$10,$C$14,Holidays)/'WBS Schedule'!$G$10))*'WBS Schedule'!$P$10</f>
        <v>1.28</v>
      </c>
      <c r="L72" s="123" t="n">
        <f aca="false">IF($C$15&lt;'WBS Schedule'!$H$10,0,MIN(1,NETWORKDAYS('WBS Schedule'!$H$10,$C$15,Holidays)/'WBS Schedule'!$G$10))*'WBS Schedule'!$P$10</f>
        <v>1.28</v>
      </c>
      <c r="M72" s="123" t="n">
        <f aca="false">IF($C$16&lt;'WBS Schedule'!$H$10,0,MIN(1,NETWORKDAYS('WBS Schedule'!$H$10,$C$16,Holidays)/'WBS Schedule'!$G$10))*'WBS Schedule'!$P$10</f>
        <v>1.28</v>
      </c>
      <c r="N72" s="123" t="n">
        <f aca="false">IF($C$17&lt;'WBS Schedule'!$H$10,0,MIN(1,NETWORKDAYS('WBS Schedule'!$H$10,$C$17,Holidays)/'WBS Schedule'!$G$10))*'WBS Schedule'!$P$10</f>
        <v>1.28</v>
      </c>
      <c r="O72" s="123" t="n">
        <f aca="false">IF($C$18&lt;'WBS Schedule'!$H$10,0,MIN(1,NETWORKDAYS('WBS Schedule'!$H$10,$C$18,Holidays)/'WBS Schedule'!$G$10))*'WBS Schedule'!$P$10</f>
        <v>1.28</v>
      </c>
      <c r="P72" s="123" t="n">
        <f aca="false">IF($C$19&lt;'WBS Schedule'!$H$10,0,MIN(1,NETWORKDAYS('WBS Schedule'!$H$10,$C$19,Holidays)/'WBS Schedule'!$G$10))*'WBS Schedule'!$P$10</f>
        <v>1.28</v>
      </c>
      <c r="Q72" s="123" t="n">
        <f aca="false">IF($C$20&lt;'WBS Schedule'!$H$10,0,MIN(1,NETWORKDAYS('WBS Schedule'!$H$10,$C$20,Holidays)/'WBS Schedule'!$G$10))*'WBS Schedule'!$P$10</f>
        <v>1.28</v>
      </c>
      <c r="R72" s="123" t="n">
        <f aca="false">IF($C$21&lt;'WBS Schedule'!$H$10,0,MIN(1,NETWORKDAYS('WBS Schedule'!$H$10,$C$21,Holidays)/'WBS Schedule'!$G$10))*'WBS Schedule'!$P$10</f>
        <v>1.28</v>
      </c>
      <c r="S72" s="123" t="n">
        <f aca="false">IF($C$22&lt;'WBS Schedule'!$H$10,0,MIN(1,NETWORKDAYS('WBS Schedule'!$H$10,$C$22,Holidays)/'WBS Schedule'!$G$10))*'WBS Schedule'!$P$10</f>
        <v>1.28</v>
      </c>
      <c r="T72" s="123" t="n">
        <f aca="false">IF($C$23&lt;'WBS Schedule'!$H$10,0,MIN(1,NETWORKDAYS('WBS Schedule'!$H$10,$C$23,Holidays)/'WBS Schedule'!$G$10))*'WBS Schedule'!$P$10</f>
        <v>1.28</v>
      </c>
      <c r="U72" s="123" t="n">
        <f aca="false">IF($C$24&lt;'WBS Schedule'!$H$10,0,MIN(1,NETWORKDAYS('WBS Schedule'!$H$10,$C$24,Holidays)/'WBS Schedule'!$G$10))*'WBS Schedule'!$P$10</f>
        <v>1.28</v>
      </c>
      <c r="V72" s="123" t="n">
        <f aca="false">IF($C$25&lt;'WBS Schedule'!$H$10,0,MIN(1,NETWORKDAYS('WBS Schedule'!$H$10,$C$25,Holidays)/'WBS Schedule'!$G$10))*'WBS Schedule'!$P$10</f>
        <v>1.28</v>
      </c>
    </row>
    <row r="73" customFormat="false" ht="15" hidden="false" customHeight="false" outlineLevel="0" collapsed="false">
      <c r="A73" s="0" t="str">
        <f aca="false">'WBS Schedule'!A11</f>
        <v>1.3</v>
      </c>
      <c r="B73" s="123" t="n">
        <f aca="false">IF($C$5&lt;'WBS Schedule'!$H$11,0,MIN(1,NETWORKDAYS('WBS Schedule'!$H$11,$C$5,Holidays)/'WBS Schedule'!$G$11))*'WBS Schedule'!$P$11</f>
        <v>2.88</v>
      </c>
      <c r="C73" s="123" t="n">
        <f aca="false">IF($C$6&lt;'WBS Schedule'!$H$11,0,MIN(1,NETWORKDAYS('WBS Schedule'!$H$11,$C$6,Holidays)/'WBS Schedule'!$G$11))*'WBS Schedule'!$P$11</f>
        <v>2.88</v>
      </c>
      <c r="D73" s="123" t="n">
        <f aca="false">IF($C$7&lt;'WBS Schedule'!$H$11,0,MIN(1,NETWORKDAYS('WBS Schedule'!$H$11,$C$7,Holidays)/'WBS Schedule'!$G$11))*'WBS Schedule'!$P$11</f>
        <v>2.88</v>
      </c>
      <c r="E73" s="123" t="n">
        <f aca="false">IF($C$8&lt;'WBS Schedule'!$H$11,0,MIN(1,NETWORKDAYS('WBS Schedule'!$H$11,$C$8,Holidays)/'WBS Schedule'!$G$11))*'WBS Schedule'!$P$11</f>
        <v>2.88</v>
      </c>
      <c r="F73" s="123" t="n">
        <f aca="false">IF($C$9&lt;'WBS Schedule'!$H$11,0,MIN(1,NETWORKDAYS('WBS Schedule'!$H$11,$C$9,Holidays)/'WBS Schedule'!$G$11))*'WBS Schedule'!$P$11</f>
        <v>2.88</v>
      </c>
      <c r="G73" s="123" t="n">
        <f aca="false">IF($C$10&lt;'WBS Schedule'!$H$11,0,MIN(1,NETWORKDAYS('WBS Schedule'!$H$11,$C$10,Holidays)/'WBS Schedule'!$G$11))*'WBS Schedule'!$P$11</f>
        <v>2.88</v>
      </c>
      <c r="H73" s="123" t="n">
        <f aca="false">IF($C$11&lt;'WBS Schedule'!$H$11,0,MIN(1,NETWORKDAYS('WBS Schedule'!$H$11,$C$11,Holidays)/'WBS Schedule'!$G$11))*'WBS Schedule'!$P$11</f>
        <v>2.88</v>
      </c>
      <c r="I73" s="123" t="n">
        <f aca="false">IF($C$12&lt;'WBS Schedule'!$H$11,0,MIN(1,NETWORKDAYS('WBS Schedule'!$H$11,$C$12,Holidays)/'WBS Schedule'!$G$11))*'WBS Schedule'!$P$11</f>
        <v>2.88</v>
      </c>
      <c r="J73" s="123" t="n">
        <f aca="false">IF($C$13&lt;'WBS Schedule'!$H$11,0,MIN(1,NETWORKDAYS('WBS Schedule'!$H$11,$C$13,Holidays)/'WBS Schedule'!$G$11))*'WBS Schedule'!$P$11</f>
        <v>2.88</v>
      </c>
      <c r="K73" s="123" t="n">
        <f aca="false">IF($C$14&lt;'WBS Schedule'!$H$11,0,MIN(1,NETWORKDAYS('WBS Schedule'!$H$11,$C$14,Holidays)/'WBS Schedule'!$G$11))*'WBS Schedule'!$P$11</f>
        <v>2.88</v>
      </c>
      <c r="L73" s="123" t="n">
        <f aca="false">IF($C$15&lt;'WBS Schedule'!$H$11,0,MIN(1,NETWORKDAYS('WBS Schedule'!$H$11,$C$15,Holidays)/'WBS Schedule'!$G$11))*'WBS Schedule'!$P$11</f>
        <v>2.88</v>
      </c>
      <c r="M73" s="123" t="n">
        <f aca="false">IF($C$16&lt;'WBS Schedule'!$H$11,0,MIN(1,NETWORKDAYS('WBS Schedule'!$H$11,$C$16,Holidays)/'WBS Schedule'!$G$11))*'WBS Schedule'!$P$11</f>
        <v>2.88</v>
      </c>
      <c r="N73" s="123" t="n">
        <f aca="false">IF($C$17&lt;'WBS Schedule'!$H$11,0,MIN(1,NETWORKDAYS('WBS Schedule'!$H$11,$C$17,Holidays)/'WBS Schedule'!$G$11))*'WBS Schedule'!$P$11</f>
        <v>2.88</v>
      </c>
      <c r="O73" s="123" t="n">
        <f aca="false">IF($C$18&lt;'WBS Schedule'!$H$11,0,MIN(1,NETWORKDAYS('WBS Schedule'!$H$11,$C$18,Holidays)/'WBS Schedule'!$G$11))*'WBS Schedule'!$P$11</f>
        <v>2.88</v>
      </c>
      <c r="P73" s="123" t="n">
        <f aca="false">IF($C$19&lt;'WBS Schedule'!$H$11,0,MIN(1,NETWORKDAYS('WBS Schedule'!$H$11,$C$19,Holidays)/'WBS Schedule'!$G$11))*'WBS Schedule'!$P$11</f>
        <v>2.88</v>
      </c>
      <c r="Q73" s="123" t="n">
        <f aca="false">IF($C$20&lt;'WBS Schedule'!$H$11,0,MIN(1,NETWORKDAYS('WBS Schedule'!$H$11,$C$20,Holidays)/'WBS Schedule'!$G$11))*'WBS Schedule'!$P$11</f>
        <v>2.88</v>
      </c>
      <c r="R73" s="123" t="n">
        <f aca="false">IF($C$21&lt;'WBS Schedule'!$H$11,0,MIN(1,NETWORKDAYS('WBS Schedule'!$H$11,$C$21,Holidays)/'WBS Schedule'!$G$11))*'WBS Schedule'!$P$11</f>
        <v>2.88</v>
      </c>
      <c r="S73" s="123" t="n">
        <f aca="false">IF($C$22&lt;'WBS Schedule'!$H$11,0,MIN(1,NETWORKDAYS('WBS Schedule'!$H$11,$C$22,Holidays)/'WBS Schedule'!$G$11))*'WBS Schedule'!$P$11</f>
        <v>2.88</v>
      </c>
      <c r="T73" s="123" t="n">
        <f aca="false">IF($C$23&lt;'WBS Schedule'!$H$11,0,MIN(1,NETWORKDAYS('WBS Schedule'!$H$11,$C$23,Holidays)/'WBS Schedule'!$G$11))*'WBS Schedule'!$P$11</f>
        <v>2.88</v>
      </c>
      <c r="U73" s="123" t="n">
        <f aca="false">IF($C$24&lt;'WBS Schedule'!$H$11,0,MIN(1,NETWORKDAYS('WBS Schedule'!$H$11,$C$24,Holidays)/'WBS Schedule'!$G$11))*'WBS Schedule'!$P$11</f>
        <v>2.88</v>
      </c>
      <c r="V73" s="123" t="n">
        <f aca="false">IF($C$25&lt;'WBS Schedule'!$H$11,0,MIN(1,NETWORKDAYS('WBS Schedule'!$H$11,$C$25,Holidays)/'WBS Schedule'!$G$11))*'WBS Schedule'!$P$11</f>
        <v>2.88</v>
      </c>
    </row>
    <row r="74" customFormat="false" ht="15" hidden="false" customHeight="false" outlineLevel="0" collapsed="false">
      <c r="A74" s="0" t="str">
        <f aca="false">'WBS Schedule'!A12</f>
        <v>1.4</v>
      </c>
      <c r="B74" s="123" t="n">
        <f aca="false">IF($C$5&lt;'WBS Schedule'!$H$12,0,MIN(1,NETWORKDAYS('WBS Schedule'!$H$12,$C$5,Holidays)/'WBS Schedule'!$G$12))*'WBS Schedule'!$P$12</f>
        <v>0</v>
      </c>
      <c r="C74" s="123" t="n">
        <f aca="false">IF($C$6&lt;'WBS Schedule'!$H$12,0,MIN(1,NETWORKDAYS('WBS Schedule'!$H$12,$C$6,Holidays)/'WBS Schedule'!$G$12))*'WBS Schedule'!$P$12</f>
        <v>1.92</v>
      </c>
      <c r="D74" s="123" t="n">
        <f aca="false">IF($C$7&lt;'WBS Schedule'!$H$12,0,MIN(1,NETWORKDAYS('WBS Schedule'!$H$12,$C$7,Holidays)/'WBS Schedule'!$G$12))*'WBS Schedule'!$P$12</f>
        <v>1.92</v>
      </c>
      <c r="E74" s="123" t="n">
        <f aca="false">IF($C$8&lt;'WBS Schedule'!$H$12,0,MIN(1,NETWORKDAYS('WBS Schedule'!$H$12,$C$8,Holidays)/'WBS Schedule'!$G$12))*'WBS Schedule'!$P$12</f>
        <v>1.92</v>
      </c>
      <c r="F74" s="123" t="n">
        <f aca="false">IF($C$9&lt;'WBS Schedule'!$H$12,0,MIN(1,NETWORKDAYS('WBS Schedule'!$H$12,$C$9,Holidays)/'WBS Schedule'!$G$12))*'WBS Schedule'!$P$12</f>
        <v>1.92</v>
      </c>
      <c r="G74" s="123" t="n">
        <f aca="false">IF($C$10&lt;'WBS Schedule'!$H$12,0,MIN(1,NETWORKDAYS('WBS Schedule'!$H$12,$C$10,Holidays)/'WBS Schedule'!$G$12))*'WBS Schedule'!$P$12</f>
        <v>1.92</v>
      </c>
      <c r="H74" s="123" t="n">
        <f aca="false">IF($C$11&lt;'WBS Schedule'!$H$12,0,MIN(1,NETWORKDAYS('WBS Schedule'!$H$12,$C$11,Holidays)/'WBS Schedule'!$G$12))*'WBS Schedule'!$P$12</f>
        <v>1.92</v>
      </c>
      <c r="I74" s="123" t="n">
        <f aca="false">IF($C$12&lt;'WBS Schedule'!$H$12,0,MIN(1,NETWORKDAYS('WBS Schedule'!$H$12,$C$12,Holidays)/'WBS Schedule'!$G$12))*'WBS Schedule'!$P$12</f>
        <v>1.92</v>
      </c>
      <c r="J74" s="123" t="n">
        <f aca="false">IF($C$13&lt;'WBS Schedule'!$H$12,0,MIN(1,NETWORKDAYS('WBS Schedule'!$H$12,$C$13,Holidays)/'WBS Schedule'!$G$12))*'WBS Schedule'!$P$12</f>
        <v>1.92</v>
      </c>
      <c r="K74" s="123" t="n">
        <f aca="false">IF($C$14&lt;'WBS Schedule'!$H$12,0,MIN(1,NETWORKDAYS('WBS Schedule'!$H$12,$C$14,Holidays)/'WBS Schedule'!$G$12))*'WBS Schedule'!$P$12</f>
        <v>1.92</v>
      </c>
      <c r="L74" s="123" t="n">
        <f aca="false">IF($C$15&lt;'WBS Schedule'!$H$12,0,MIN(1,NETWORKDAYS('WBS Schedule'!$H$12,$C$15,Holidays)/'WBS Schedule'!$G$12))*'WBS Schedule'!$P$12</f>
        <v>1.92</v>
      </c>
      <c r="M74" s="123" t="n">
        <f aca="false">IF($C$16&lt;'WBS Schedule'!$H$12,0,MIN(1,NETWORKDAYS('WBS Schedule'!$H$12,$C$16,Holidays)/'WBS Schedule'!$G$12))*'WBS Schedule'!$P$12</f>
        <v>1.92</v>
      </c>
      <c r="N74" s="123" t="n">
        <f aca="false">IF($C$17&lt;'WBS Schedule'!$H$12,0,MIN(1,NETWORKDAYS('WBS Schedule'!$H$12,$C$17,Holidays)/'WBS Schedule'!$G$12))*'WBS Schedule'!$P$12</f>
        <v>1.92</v>
      </c>
      <c r="O74" s="123" t="n">
        <f aca="false">IF($C$18&lt;'WBS Schedule'!$H$12,0,MIN(1,NETWORKDAYS('WBS Schedule'!$H$12,$C$18,Holidays)/'WBS Schedule'!$G$12))*'WBS Schedule'!$P$12</f>
        <v>1.92</v>
      </c>
      <c r="P74" s="123" t="n">
        <f aca="false">IF($C$19&lt;'WBS Schedule'!$H$12,0,MIN(1,NETWORKDAYS('WBS Schedule'!$H$12,$C$19,Holidays)/'WBS Schedule'!$G$12))*'WBS Schedule'!$P$12</f>
        <v>1.92</v>
      </c>
      <c r="Q74" s="123" t="n">
        <f aca="false">IF($C$20&lt;'WBS Schedule'!$H$12,0,MIN(1,NETWORKDAYS('WBS Schedule'!$H$12,$C$20,Holidays)/'WBS Schedule'!$G$12))*'WBS Schedule'!$P$12</f>
        <v>1.92</v>
      </c>
      <c r="R74" s="123" t="n">
        <f aca="false">IF($C$21&lt;'WBS Schedule'!$H$12,0,MIN(1,NETWORKDAYS('WBS Schedule'!$H$12,$C$21,Holidays)/'WBS Schedule'!$G$12))*'WBS Schedule'!$P$12</f>
        <v>1.92</v>
      </c>
      <c r="S74" s="123" t="n">
        <f aca="false">IF($C$22&lt;'WBS Schedule'!$H$12,0,MIN(1,NETWORKDAYS('WBS Schedule'!$H$12,$C$22,Holidays)/'WBS Schedule'!$G$12))*'WBS Schedule'!$P$12</f>
        <v>1.92</v>
      </c>
      <c r="T74" s="123" t="n">
        <f aca="false">IF($C$23&lt;'WBS Schedule'!$H$12,0,MIN(1,NETWORKDAYS('WBS Schedule'!$H$12,$C$23,Holidays)/'WBS Schedule'!$G$12))*'WBS Schedule'!$P$12</f>
        <v>1.92</v>
      </c>
      <c r="U74" s="123" t="n">
        <f aca="false">IF($C$24&lt;'WBS Schedule'!$H$12,0,MIN(1,NETWORKDAYS('WBS Schedule'!$H$12,$C$24,Holidays)/'WBS Schedule'!$G$12))*'WBS Schedule'!$P$12</f>
        <v>1.92</v>
      </c>
      <c r="V74" s="123" t="n">
        <f aca="false">IF($C$25&lt;'WBS Schedule'!$H$12,0,MIN(1,NETWORKDAYS('WBS Schedule'!$H$12,$C$25,Holidays)/'WBS Schedule'!$G$12))*'WBS Schedule'!$P$12</f>
        <v>1.92</v>
      </c>
    </row>
    <row r="75" customFormat="false" ht="15" hidden="false" customHeight="false" outlineLevel="0" collapsed="false">
      <c r="A75" s="0" t="str">
        <f aca="false">'WBS Schedule'!A13</f>
        <v>1.5</v>
      </c>
      <c r="B75" s="123" t="n">
        <f aca="false">IF($C$5&lt;'WBS Schedule'!$H$13,0,MIN(1,NETWORKDAYS('WBS Schedule'!$H$13,$C$5,Holidays)/'WBS Schedule'!$G$13))*'WBS Schedule'!$P$13</f>
        <v>0</v>
      </c>
      <c r="C75" s="123" t="n">
        <f aca="false">IF($C$6&lt;'WBS Schedule'!$H$13,0,MIN(1,NETWORKDAYS('WBS Schedule'!$H$13,$C$6,Holidays)/'WBS Schedule'!$G$13))*'WBS Schedule'!$P$13</f>
        <v>1.92</v>
      </c>
      <c r="D75" s="123" t="n">
        <f aca="false">IF($C$7&lt;'WBS Schedule'!$H$13,0,MIN(1,NETWORKDAYS('WBS Schedule'!$H$13,$C$7,Holidays)/'WBS Schedule'!$G$13))*'WBS Schedule'!$P$13</f>
        <v>1.92</v>
      </c>
      <c r="E75" s="123" t="n">
        <f aca="false">IF($C$8&lt;'WBS Schedule'!$H$13,0,MIN(1,NETWORKDAYS('WBS Schedule'!$H$13,$C$8,Holidays)/'WBS Schedule'!$G$13))*'WBS Schedule'!$P$13</f>
        <v>1.92</v>
      </c>
      <c r="F75" s="123" t="n">
        <f aca="false">IF($C$9&lt;'WBS Schedule'!$H$13,0,MIN(1,NETWORKDAYS('WBS Schedule'!$H$13,$C$9,Holidays)/'WBS Schedule'!$G$13))*'WBS Schedule'!$P$13</f>
        <v>1.92</v>
      </c>
      <c r="G75" s="123" t="n">
        <f aca="false">IF($C$10&lt;'WBS Schedule'!$H$13,0,MIN(1,NETWORKDAYS('WBS Schedule'!$H$13,$C$10,Holidays)/'WBS Schedule'!$G$13))*'WBS Schedule'!$P$13</f>
        <v>1.92</v>
      </c>
      <c r="H75" s="123" t="n">
        <f aca="false">IF($C$11&lt;'WBS Schedule'!$H$13,0,MIN(1,NETWORKDAYS('WBS Schedule'!$H$13,$C$11,Holidays)/'WBS Schedule'!$G$13))*'WBS Schedule'!$P$13</f>
        <v>1.92</v>
      </c>
      <c r="I75" s="123" t="n">
        <f aca="false">IF($C$12&lt;'WBS Schedule'!$H$13,0,MIN(1,NETWORKDAYS('WBS Schedule'!$H$13,$C$12,Holidays)/'WBS Schedule'!$G$13))*'WBS Schedule'!$P$13</f>
        <v>1.92</v>
      </c>
      <c r="J75" s="123" t="n">
        <f aca="false">IF($C$13&lt;'WBS Schedule'!$H$13,0,MIN(1,NETWORKDAYS('WBS Schedule'!$H$13,$C$13,Holidays)/'WBS Schedule'!$G$13))*'WBS Schedule'!$P$13</f>
        <v>1.92</v>
      </c>
      <c r="K75" s="123" t="n">
        <f aca="false">IF($C$14&lt;'WBS Schedule'!$H$13,0,MIN(1,NETWORKDAYS('WBS Schedule'!$H$13,$C$14,Holidays)/'WBS Schedule'!$G$13))*'WBS Schedule'!$P$13</f>
        <v>1.92</v>
      </c>
      <c r="L75" s="123" t="n">
        <f aca="false">IF($C$15&lt;'WBS Schedule'!$H$13,0,MIN(1,NETWORKDAYS('WBS Schedule'!$H$13,$C$15,Holidays)/'WBS Schedule'!$G$13))*'WBS Schedule'!$P$13</f>
        <v>1.92</v>
      </c>
      <c r="M75" s="123" t="n">
        <f aca="false">IF($C$16&lt;'WBS Schedule'!$H$13,0,MIN(1,NETWORKDAYS('WBS Schedule'!$H$13,$C$16,Holidays)/'WBS Schedule'!$G$13))*'WBS Schedule'!$P$13</f>
        <v>1.92</v>
      </c>
      <c r="N75" s="123" t="n">
        <f aca="false">IF($C$17&lt;'WBS Schedule'!$H$13,0,MIN(1,NETWORKDAYS('WBS Schedule'!$H$13,$C$17,Holidays)/'WBS Schedule'!$G$13))*'WBS Schedule'!$P$13</f>
        <v>1.92</v>
      </c>
      <c r="O75" s="123" t="n">
        <f aca="false">IF($C$18&lt;'WBS Schedule'!$H$13,0,MIN(1,NETWORKDAYS('WBS Schedule'!$H$13,$C$18,Holidays)/'WBS Schedule'!$G$13))*'WBS Schedule'!$P$13</f>
        <v>1.92</v>
      </c>
      <c r="P75" s="123" t="n">
        <f aca="false">IF($C$19&lt;'WBS Schedule'!$H$13,0,MIN(1,NETWORKDAYS('WBS Schedule'!$H$13,$C$19,Holidays)/'WBS Schedule'!$G$13))*'WBS Schedule'!$P$13</f>
        <v>1.92</v>
      </c>
      <c r="Q75" s="123" t="n">
        <f aca="false">IF($C$20&lt;'WBS Schedule'!$H$13,0,MIN(1,NETWORKDAYS('WBS Schedule'!$H$13,$C$20,Holidays)/'WBS Schedule'!$G$13))*'WBS Schedule'!$P$13</f>
        <v>1.92</v>
      </c>
      <c r="R75" s="123" t="n">
        <f aca="false">IF($C$21&lt;'WBS Schedule'!$H$13,0,MIN(1,NETWORKDAYS('WBS Schedule'!$H$13,$C$21,Holidays)/'WBS Schedule'!$G$13))*'WBS Schedule'!$P$13</f>
        <v>1.92</v>
      </c>
      <c r="S75" s="123" t="n">
        <f aca="false">IF($C$22&lt;'WBS Schedule'!$H$13,0,MIN(1,NETWORKDAYS('WBS Schedule'!$H$13,$C$22,Holidays)/'WBS Schedule'!$G$13))*'WBS Schedule'!$P$13</f>
        <v>1.92</v>
      </c>
      <c r="T75" s="123" t="n">
        <f aca="false">IF($C$23&lt;'WBS Schedule'!$H$13,0,MIN(1,NETWORKDAYS('WBS Schedule'!$H$13,$C$23,Holidays)/'WBS Schedule'!$G$13))*'WBS Schedule'!$P$13</f>
        <v>1.92</v>
      </c>
      <c r="U75" s="123" t="n">
        <f aca="false">IF($C$24&lt;'WBS Schedule'!$H$13,0,MIN(1,NETWORKDAYS('WBS Schedule'!$H$13,$C$24,Holidays)/'WBS Schedule'!$G$13))*'WBS Schedule'!$P$13</f>
        <v>1.92</v>
      </c>
      <c r="V75" s="123" t="n">
        <f aca="false">IF($C$25&lt;'WBS Schedule'!$H$13,0,MIN(1,NETWORKDAYS('WBS Schedule'!$H$13,$C$25,Holidays)/'WBS Schedule'!$G$13))*'WBS Schedule'!$P$13</f>
        <v>1.92</v>
      </c>
    </row>
    <row r="76" customFormat="false" ht="15" hidden="false" customHeight="false" outlineLevel="0" collapsed="false">
      <c r="A76" s="0" t="str">
        <f aca="false">'WBS Schedule'!A14</f>
        <v>1.6</v>
      </c>
      <c r="B76" s="123" t="n">
        <f aca="false">IF($C$5&lt;'WBS Schedule'!$H$14,0,MIN(1,NETWORKDAYS('WBS Schedule'!$H$14,$C$5,Holidays)/'WBS Schedule'!$G$14))*'WBS Schedule'!$P$14</f>
        <v>0</v>
      </c>
      <c r="C76" s="123" t="n">
        <f aca="false">IF($C$6&lt;'WBS Schedule'!$H$14,0,MIN(1,NETWORKDAYS('WBS Schedule'!$H$14,$C$6,Holidays)/'WBS Schedule'!$G$14))*'WBS Schedule'!$P$14</f>
        <v>1.28</v>
      </c>
      <c r="D76" s="123" t="n">
        <f aca="false">IF($C$7&lt;'WBS Schedule'!$H$14,0,MIN(1,NETWORKDAYS('WBS Schedule'!$H$14,$C$7,Holidays)/'WBS Schedule'!$G$14))*'WBS Schedule'!$P$14</f>
        <v>1.92</v>
      </c>
      <c r="E76" s="123" t="n">
        <f aca="false">IF($C$8&lt;'WBS Schedule'!$H$14,0,MIN(1,NETWORKDAYS('WBS Schedule'!$H$14,$C$8,Holidays)/'WBS Schedule'!$G$14))*'WBS Schedule'!$P$14</f>
        <v>1.92</v>
      </c>
      <c r="F76" s="123" t="n">
        <f aca="false">IF($C$9&lt;'WBS Schedule'!$H$14,0,MIN(1,NETWORKDAYS('WBS Schedule'!$H$14,$C$9,Holidays)/'WBS Schedule'!$G$14))*'WBS Schedule'!$P$14</f>
        <v>1.92</v>
      </c>
      <c r="G76" s="123" t="n">
        <f aca="false">IF($C$10&lt;'WBS Schedule'!$H$14,0,MIN(1,NETWORKDAYS('WBS Schedule'!$H$14,$C$10,Holidays)/'WBS Schedule'!$G$14))*'WBS Schedule'!$P$14</f>
        <v>1.92</v>
      </c>
      <c r="H76" s="123" t="n">
        <f aca="false">IF($C$11&lt;'WBS Schedule'!$H$14,0,MIN(1,NETWORKDAYS('WBS Schedule'!$H$14,$C$11,Holidays)/'WBS Schedule'!$G$14))*'WBS Schedule'!$P$14</f>
        <v>1.92</v>
      </c>
      <c r="I76" s="123" t="n">
        <f aca="false">IF($C$12&lt;'WBS Schedule'!$H$14,0,MIN(1,NETWORKDAYS('WBS Schedule'!$H$14,$C$12,Holidays)/'WBS Schedule'!$G$14))*'WBS Schedule'!$P$14</f>
        <v>1.92</v>
      </c>
      <c r="J76" s="123" t="n">
        <f aca="false">IF($C$13&lt;'WBS Schedule'!$H$14,0,MIN(1,NETWORKDAYS('WBS Schedule'!$H$14,$C$13,Holidays)/'WBS Schedule'!$G$14))*'WBS Schedule'!$P$14</f>
        <v>1.92</v>
      </c>
      <c r="K76" s="123" t="n">
        <f aca="false">IF($C$14&lt;'WBS Schedule'!$H$14,0,MIN(1,NETWORKDAYS('WBS Schedule'!$H$14,$C$14,Holidays)/'WBS Schedule'!$G$14))*'WBS Schedule'!$P$14</f>
        <v>1.92</v>
      </c>
      <c r="L76" s="123" t="n">
        <f aca="false">IF($C$15&lt;'WBS Schedule'!$H$14,0,MIN(1,NETWORKDAYS('WBS Schedule'!$H$14,$C$15,Holidays)/'WBS Schedule'!$G$14))*'WBS Schedule'!$P$14</f>
        <v>1.92</v>
      </c>
      <c r="M76" s="123" t="n">
        <f aca="false">IF($C$16&lt;'WBS Schedule'!$H$14,0,MIN(1,NETWORKDAYS('WBS Schedule'!$H$14,$C$16,Holidays)/'WBS Schedule'!$G$14))*'WBS Schedule'!$P$14</f>
        <v>1.92</v>
      </c>
      <c r="N76" s="123" t="n">
        <f aca="false">IF($C$17&lt;'WBS Schedule'!$H$14,0,MIN(1,NETWORKDAYS('WBS Schedule'!$H$14,$C$17,Holidays)/'WBS Schedule'!$G$14))*'WBS Schedule'!$P$14</f>
        <v>1.92</v>
      </c>
      <c r="O76" s="123" t="n">
        <f aca="false">IF($C$18&lt;'WBS Schedule'!$H$14,0,MIN(1,NETWORKDAYS('WBS Schedule'!$H$14,$C$18,Holidays)/'WBS Schedule'!$G$14))*'WBS Schedule'!$P$14</f>
        <v>1.92</v>
      </c>
      <c r="P76" s="123" t="n">
        <f aca="false">IF($C$19&lt;'WBS Schedule'!$H$14,0,MIN(1,NETWORKDAYS('WBS Schedule'!$H$14,$C$19,Holidays)/'WBS Schedule'!$G$14))*'WBS Schedule'!$P$14</f>
        <v>1.92</v>
      </c>
      <c r="Q76" s="123" t="n">
        <f aca="false">IF($C$20&lt;'WBS Schedule'!$H$14,0,MIN(1,NETWORKDAYS('WBS Schedule'!$H$14,$C$20,Holidays)/'WBS Schedule'!$G$14))*'WBS Schedule'!$P$14</f>
        <v>1.92</v>
      </c>
      <c r="R76" s="123" t="n">
        <f aca="false">IF($C$21&lt;'WBS Schedule'!$H$14,0,MIN(1,NETWORKDAYS('WBS Schedule'!$H$14,$C$21,Holidays)/'WBS Schedule'!$G$14))*'WBS Schedule'!$P$14</f>
        <v>1.92</v>
      </c>
      <c r="S76" s="123" t="n">
        <f aca="false">IF($C$22&lt;'WBS Schedule'!$H$14,0,MIN(1,NETWORKDAYS('WBS Schedule'!$H$14,$C$22,Holidays)/'WBS Schedule'!$G$14))*'WBS Schedule'!$P$14</f>
        <v>1.92</v>
      </c>
      <c r="T76" s="123" t="n">
        <f aca="false">IF($C$23&lt;'WBS Schedule'!$H$14,0,MIN(1,NETWORKDAYS('WBS Schedule'!$H$14,$C$23,Holidays)/'WBS Schedule'!$G$14))*'WBS Schedule'!$P$14</f>
        <v>1.92</v>
      </c>
      <c r="U76" s="123" t="n">
        <f aca="false">IF($C$24&lt;'WBS Schedule'!$H$14,0,MIN(1,NETWORKDAYS('WBS Schedule'!$H$14,$C$24,Holidays)/'WBS Schedule'!$G$14))*'WBS Schedule'!$P$14</f>
        <v>1.92</v>
      </c>
      <c r="V76" s="123" t="n">
        <f aca="false">IF($C$25&lt;'WBS Schedule'!$H$14,0,MIN(1,NETWORKDAYS('WBS Schedule'!$H$14,$C$25,Holidays)/'WBS Schedule'!$G$14))*'WBS Schedule'!$P$14</f>
        <v>1.92</v>
      </c>
    </row>
    <row r="77" customFormat="false" ht="15" hidden="false" customHeight="false" outlineLevel="0" collapsed="false">
      <c r="A77" s="0" t="str">
        <f aca="false">'WBS Schedule'!A15</f>
        <v>1.7</v>
      </c>
      <c r="B77" s="123" t="n">
        <f aca="false">IF($C$5&lt;'WBS Schedule'!$H$15,0,MIN(1,NETWORKDAYS('WBS Schedule'!$H$15,$C$5,Holidays)/'WBS Schedule'!$G$15))*'WBS Schedule'!$P$15</f>
        <v>0</v>
      </c>
      <c r="C77" s="123" t="n">
        <f aca="false">IF($C$6&lt;'WBS Schedule'!$H$15,0,MIN(1,NETWORKDAYS('WBS Schedule'!$H$15,$C$6,Holidays)/'WBS Schedule'!$G$15))*'WBS Schedule'!$P$15</f>
        <v>1.28</v>
      </c>
      <c r="D77" s="123" t="n">
        <f aca="false">IF($C$7&lt;'WBS Schedule'!$H$15,0,MIN(1,NETWORKDAYS('WBS Schedule'!$H$15,$C$7,Holidays)/'WBS Schedule'!$G$15))*'WBS Schedule'!$P$15</f>
        <v>1.92</v>
      </c>
      <c r="E77" s="123" t="n">
        <f aca="false">IF($C$8&lt;'WBS Schedule'!$H$15,0,MIN(1,NETWORKDAYS('WBS Schedule'!$H$15,$C$8,Holidays)/'WBS Schedule'!$G$15))*'WBS Schedule'!$P$15</f>
        <v>1.92</v>
      </c>
      <c r="F77" s="123" t="n">
        <f aca="false">IF($C$9&lt;'WBS Schedule'!$H$15,0,MIN(1,NETWORKDAYS('WBS Schedule'!$H$15,$C$9,Holidays)/'WBS Schedule'!$G$15))*'WBS Schedule'!$P$15</f>
        <v>1.92</v>
      </c>
      <c r="G77" s="123" t="n">
        <f aca="false">IF($C$10&lt;'WBS Schedule'!$H$15,0,MIN(1,NETWORKDAYS('WBS Schedule'!$H$15,$C$10,Holidays)/'WBS Schedule'!$G$15))*'WBS Schedule'!$P$15</f>
        <v>1.92</v>
      </c>
      <c r="H77" s="123" t="n">
        <f aca="false">IF($C$11&lt;'WBS Schedule'!$H$15,0,MIN(1,NETWORKDAYS('WBS Schedule'!$H$15,$C$11,Holidays)/'WBS Schedule'!$G$15))*'WBS Schedule'!$P$15</f>
        <v>1.92</v>
      </c>
      <c r="I77" s="123" t="n">
        <f aca="false">IF($C$12&lt;'WBS Schedule'!$H$15,0,MIN(1,NETWORKDAYS('WBS Schedule'!$H$15,$C$12,Holidays)/'WBS Schedule'!$G$15))*'WBS Schedule'!$P$15</f>
        <v>1.92</v>
      </c>
      <c r="J77" s="123" t="n">
        <f aca="false">IF($C$13&lt;'WBS Schedule'!$H$15,0,MIN(1,NETWORKDAYS('WBS Schedule'!$H$15,$C$13,Holidays)/'WBS Schedule'!$G$15))*'WBS Schedule'!$P$15</f>
        <v>1.92</v>
      </c>
      <c r="K77" s="123" t="n">
        <f aca="false">IF($C$14&lt;'WBS Schedule'!$H$15,0,MIN(1,NETWORKDAYS('WBS Schedule'!$H$15,$C$14,Holidays)/'WBS Schedule'!$G$15))*'WBS Schedule'!$P$15</f>
        <v>1.92</v>
      </c>
      <c r="L77" s="123" t="n">
        <f aca="false">IF($C$15&lt;'WBS Schedule'!$H$15,0,MIN(1,NETWORKDAYS('WBS Schedule'!$H$15,$C$15,Holidays)/'WBS Schedule'!$G$15))*'WBS Schedule'!$P$15</f>
        <v>1.92</v>
      </c>
      <c r="M77" s="123" t="n">
        <f aca="false">IF($C$16&lt;'WBS Schedule'!$H$15,0,MIN(1,NETWORKDAYS('WBS Schedule'!$H$15,$C$16,Holidays)/'WBS Schedule'!$G$15))*'WBS Schedule'!$P$15</f>
        <v>1.92</v>
      </c>
      <c r="N77" s="123" t="n">
        <f aca="false">IF($C$17&lt;'WBS Schedule'!$H$15,0,MIN(1,NETWORKDAYS('WBS Schedule'!$H$15,$C$17,Holidays)/'WBS Schedule'!$G$15))*'WBS Schedule'!$P$15</f>
        <v>1.92</v>
      </c>
      <c r="O77" s="123" t="n">
        <f aca="false">IF($C$18&lt;'WBS Schedule'!$H$15,0,MIN(1,NETWORKDAYS('WBS Schedule'!$H$15,$C$18,Holidays)/'WBS Schedule'!$G$15))*'WBS Schedule'!$P$15</f>
        <v>1.92</v>
      </c>
      <c r="P77" s="123" t="n">
        <f aca="false">IF($C$19&lt;'WBS Schedule'!$H$15,0,MIN(1,NETWORKDAYS('WBS Schedule'!$H$15,$C$19,Holidays)/'WBS Schedule'!$G$15))*'WBS Schedule'!$P$15</f>
        <v>1.92</v>
      </c>
      <c r="Q77" s="123" t="n">
        <f aca="false">IF($C$20&lt;'WBS Schedule'!$H$15,0,MIN(1,NETWORKDAYS('WBS Schedule'!$H$15,$C$20,Holidays)/'WBS Schedule'!$G$15))*'WBS Schedule'!$P$15</f>
        <v>1.92</v>
      </c>
      <c r="R77" s="123" t="n">
        <f aca="false">IF($C$21&lt;'WBS Schedule'!$H$15,0,MIN(1,NETWORKDAYS('WBS Schedule'!$H$15,$C$21,Holidays)/'WBS Schedule'!$G$15))*'WBS Schedule'!$P$15</f>
        <v>1.92</v>
      </c>
      <c r="S77" s="123" t="n">
        <f aca="false">IF($C$22&lt;'WBS Schedule'!$H$15,0,MIN(1,NETWORKDAYS('WBS Schedule'!$H$15,$C$22,Holidays)/'WBS Schedule'!$G$15))*'WBS Schedule'!$P$15</f>
        <v>1.92</v>
      </c>
      <c r="T77" s="123" t="n">
        <f aca="false">IF($C$23&lt;'WBS Schedule'!$H$15,0,MIN(1,NETWORKDAYS('WBS Schedule'!$H$15,$C$23,Holidays)/'WBS Schedule'!$G$15))*'WBS Schedule'!$P$15</f>
        <v>1.92</v>
      </c>
      <c r="U77" s="123" t="n">
        <f aca="false">IF($C$24&lt;'WBS Schedule'!$H$15,0,MIN(1,NETWORKDAYS('WBS Schedule'!$H$15,$C$24,Holidays)/'WBS Schedule'!$G$15))*'WBS Schedule'!$P$15</f>
        <v>1.92</v>
      </c>
      <c r="V77" s="123" t="n">
        <f aca="false">IF($C$25&lt;'WBS Schedule'!$H$15,0,MIN(1,NETWORKDAYS('WBS Schedule'!$H$15,$C$25,Holidays)/'WBS Schedule'!$G$15))*'WBS Schedule'!$P$15</f>
        <v>1.92</v>
      </c>
    </row>
    <row r="78" customFormat="false" ht="15" hidden="false" customHeight="false" outlineLevel="0" collapsed="false">
      <c r="A78" s="0" t="str">
        <f aca="false">'WBS Schedule'!A16</f>
        <v>1.8</v>
      </c>
      <c r="B78" s="123" t="n">
        <f aca="false">IF($C$5&lt;'WBS Schedule'!$H$16,0,MIN(1,NETWORKDAYS('WBS Schedule'!$H$16,$C$5,Holidays)/'WBS Schedule'!$G$16))*'WBS Schedule'!$P$16</f>
        <v>0</v>
      </c>
      <c r="C78" s="123" t="n">
        <f aca="false">IF($C$6&lt;'WBS Schedule'!$H$16,0,MIN(1,NETWORKDAYS('WBS Schedule'!$H$16,$C$6,Holidays)/'WBS Schedule'!$G$16))*'WBS Schedule'!$P$16</f>
        <v>0</v>
      </c>
      <c r="D78" s="123" t="n">
        <f aca="false">IF($C$7&lt;'WBS Schedule'!$H$16,0,MIN(1,NETWORKDAYS('WBS Schedule'!$H$16,$C$7,Holidays)/'WBS Schedule'!$G$16))*'WBS Schedule'!$P$16</f>
        <v>1.28</v>
      </c>
      <c r="E78" s="123" t="n">
        <f aca="false">IF($C$8&lt;'WBS Schedule'!$H$16,0,MIN(1,NETWORKDAYS('WBS Schedule'!$H$16,$C$8,Holidays)/'WBS Schedule'!$G$16))*'WBS Schedule'!$P$16</f>
        <v>1.28</v>
      </c>
      <c r="F78" s="123" t="n">
        <f aca="false">IF($C$9&lt;'WBS Schedule'!$H$16,0,MIN(1,NETWORKDAYS('WBS Schedule'!$H$16,$C$9,Holidays)/'WBS Schedule'!$G$16))*'WBS Schedule'!$P$16</f>
        <v>1.28</v>
      </c>
      <c r="G78" s="123" t="n">
        <f aca="false">IF($C$10&lt;'WBS Schedule'!$H$16,0,MIN(1,NETWORKDAYS('WBS Schedule'!$H$16,$C$10,Holidays)/'WBS Schedule'!$G$16))*'WBS Schedule'!$P$16</f>
        <v>1.28</v>
      </c>
      <c r="H78" s="123" t="n">
        <f aca="false">IF($C$11&lt;'WBS Schedule'!$H$16,0,MIN(1,NETWORKDAYS('WBS Schedule'!$H$16,$C$11,Holidays)/'WBS Schedule'!$G$16))*'WBS Schedule'!$P$16</f>
        <v>1.28</v>
      </c>
      <c r="I78" s="123" t="n">
        <f aca="false">IF($C$12&lt;'WBS Schedule'!$H$16,0,MIN(1,NETWORKDAYS('WBS Schedule'!$H$16,$C$12,Holidays)/'WBS Schedule'!$G$16))*'WBS Schedule'!$P$16</f>
        <v>1.28</v>
      </c>
      <c r="J78" s="123" t="n">
        <f aca="false">IF($C$13&lt;'WBS Schedule'!$H$16,0,MIN(1,NETWORKDAYS('WBS Schedule'!$H$16,$C$13,Holidays)/'WBS Schedule'!$G$16))*'WBS Schedule'!$P$16</f>
        <v>1.28</v>
      </c>
      <c r="K78" s="123" t="n">
        <f aca="false">IF($C$14&lt;'WBS Schedule'!$H$16,0,MIN(1,NETWORKDAYS('WBS Schedule'!$H$16,$C$14,Holidays)/'WBS Schedule'!$G$16))*'WBS Schedule'!$P$16</f>
        <v>1.28</v>
      </c>
      <c r="L78" s="123" t="n">
        <f aca="false">IF($C$15&lt;'WBS Schedule'!$H$16,0,MIN(1,NETWORKDAYS('WBS Schedule'!$H$16,$C$15,Holidays)/'WBS Schedule'!$G$16))*'WBS Schedule'!$P$16</f>
        <v>1.28</v>
      </c>
      <c r="M78" s="123" t="n">
        <f aca="false">IF($C$16&lt;'WBS Schedule'!$H$16,0,MIN(1,NETWORKDAYS('WBS Schedule'!$H$16,$C$16,Holidays)/'WBS Schedule'!$G$16))*'WBS Schedule'!$P$16</f>
        <v>1.28</v>
      </c>
      <c r="N78" s="123" t="n">
        <f aca="false">IF($C$17&lt;'WBS Schedule'!$H$16,0,MIN(1,NETWORKDAYS('WBS Schedule'!$H$16,$C$17,Holidays)/'WBS Schedule'!$G$16))*'WBS Schedule'!$P$16</f>
        <v>1.28</v>
      </c>
      <c r="O78" s="123" t="n">
        <f aca="false">IF($C$18&lt;'WBS Schedule'!$H$16,0,MIN(1,NETWORKDAYS('WBS Schedule'!$H$16,$C$18,Holidays)/'WBS Schedule'!$G$16))*'WBS Schedule'!$P$16</f>
        <v>1.28</v>
      </c>
      <c r="P78" s="123" t="n">
        <f aca="false">IF($C$19&lt;'WBS Schedule'!$H$16,0,MIN(1,NETWORKDAYS('WBS Schedule'!$H$16,$C$19,Holidays)/'WBS Schedule'!$G$16))*'WBS Schedule'!$P$16</f>
        <v>1.28</v>
      </c>
      <c r="Q78" s="123" t="n">
        <f aca="false">IF($C$20&lt;'WBS Schedule'!$H$16,0,MIN(1,NETWORKDAYS('WBS Schedule'!$H$16,$C$20,Holidays)/'WBS Schedule'!$G$16))*'WBS Schedule'!$P$16</f>
        <v>1.28</v>
      </c>
      <c r="R78" s="123" t="n">
        <f aca="false">IF($C$21&lt;'WBS Schedule'!$H$16,0,MIN(1,NETWORKDAYS('WBS Schedule'!$H$16,$C$21,Holidays)/'WBS Schedule'!$G$16))*'WBS Schedule'!$P$16</f>
        <v>1.28</v>
      </c>
      <c r="S78" s="123" t="n">
        <f aca="false">IF($C$22&lt;'WBS Schedule'!$H$16,0,MIN(1,NETWORKDAYS('WBS Schedule'!$H$16,$C$22,Holidays)/'WBS Schedule'!$G$16))*'WBS Schedule'!$P$16</f>
        <v>1.28</v>
      </c>
      <c r="T78" s="123" t="n">
        <f aca="false">IF($C$23&lt;'WBS Schedule'!$H$16,0,MIN(1,NETWORKDAYS('WBS Schedule'!$H$16,$C$23,Holidays)/'WBS Schedule'!$G$16))*'WBS Schedule'!$P$16</f>
        <v>1.28</v>
      </c>
      <c r="U78" s="123" t="n">
        <f aca="false">IF($C$24&lt;'WBS Schedule'!$H$16,0,MIN(1,NETWORKDAYS('WBS Schedule'!$H$16,$C$24,Holidays)/'WBS Schedule'!$G$16))*'WBS Schedule'!$P$16</f>
        <v>1.28</v>
      </c>
      <c r="V78" s="123" t="n">
        <f aca="false">IF($C$25&lt;'WBS Schedule'!$H$16,0,MIN(1,NETWORKDAYS('WBS Schedule'!$H$16,$C$25,Holidays)/'WBS Schedule'!$G$16))*'WBS Schedule'!$P$16</f>
        <v>1.28</v>
      </c>
    </row>
    <row r="79" customFormat="false" ht="15" hidden="false" customHeight="false" outlineLevel="0" collapsed="false">
      <c r="A79" s="0" t="str">
        <f aca="false">'WBS Schedule'!A17</f>
        <v>1.9</v>
      </c>
      <c r="B79" s="123" t="n">
        <f aca="false">IF($C$5&lt;'WBS Schedule'!$H$17,0,MIN(1,NETWORKDAYS('WBS Schedule'!$H$17,$C$5,Holidays)/'WBS Schedule'!$G$17))*'WBS Schedule'!$P$17</f>
        <v>0</v>
      </c>
      <c r="C79" s="123" t="n">
        <f aca="false">IF($C$6&lt;'WBS Schedule'!$H$17,0,MIN(1,NETWORKDAYS('WBS Schedule'!$H$17,$C$6,Holidays)/'WBS Schedule'!$G$17))*'WBS Schedule'!$P$17</f>
        <v>0</v>
      </c>
      <c r="D79" s="123" t="n">
        <f aca="false">IF($C$7&lt;'WBS Schedule'!$H$17,0,MIN(1,NETWORKDAYS('WBS Schedule'!$H$17,$C$7,Holidays)/'WBS Schedule'!$G$17))*'WBS Schedule'!$P$17</f>
        <v>0.64</v>
      </c>
      <c r="E79" s="123" t="n">
        <f aca="false">IF($C$8&lt;'WBS Schedule'!$H$17,0,MIN(1,NETWORKDAYS('WBS Schedule'!$H$17,$C$8,Holidays)/'WBS Schedule'!$G$17))*'WBS Schedule'!$P$17</f>
        <v>0.64</v>
      </c>
      <c r="F79" s="123" t="n">
        <f aca="false">IF($C$9&lt;'WBS Schedule'!$H$17,0,MIN(1,NETWORKDAYS('WBS Schedule'!$H$17,$C$9,Holidays)/'WBS Schedule'!$G$17))*'WBS Schedule'!$P$17</f>
        <v>0.64</v>
      </c>
      <c r="G79" s="123" t="n">
        <f aca="false">IF($C$10&lt;'WBS Schedule'!$H$17,0,MIN(1,NETWORKDAYS('WBS Schedule'!$H$17,$C$10,Holidays)/'WBS Schedule'!$G$17))*'WBS Schedule'!$P$17</f>
        <v>0.64</v>
      </c>
      <c r="H79" s="123" t="n">
        <f aca="false">IF($C$11&lt;'WBS Schedule'!$H$17,0,MIN(1,NETWORKDAYS('WBS Schedule'!$H$17,$C$11,Holidays)/'WBS Schedule'!$G$17))*'WBS Schedule'!$P$17</f>
        <v>0.64</v>
      </c>
      <c r="I79" s="123" t="n">
        <f aca="false">IF($C$12&lt;'WBS Schedule'!$H$17,0,MIN(1,NETWORKDAYS('WBS Schedule'!$H$17,$C$12,Holidays)/'WBS Schedule'!$G$17))*'WBS Schedule'!$P$17</f>
        <v>0.64</v>
      </c>
      <c r="J79" s="123" t="n">
        <f aca="false">IF($C$13&lt;'WBS Schedule'!$H$17,0,MIN(1,NETWORKDAYS('WBS Schedule'!$H$17,$C$13,Holidays)/'WBS Schedule'!$G$17))*'WBS Schedule'!$P$17</f>
        <v>0.64</v>
      </c>
      <c r="K79" s="123" t="n">
        <f aca="false">IF($C$14&lt;'WBS Schedule'!$H$17,0,MIN(1,NETWORKDAYS('WBS Schedule'!$H$17,$C$14,Holidays)/'WBS Schedule'!$G$17))*'WBS Schedule'!$P$17</f>
        <v>0.64</v>
      </c>
      <c r="L79" s="123" t="n">
        <f aca="false">IF($C$15&lt;'WBS Schedule'!$H$17,0,MIN(1,NETWORKDAYS('WBS Schedule'!$H$17,$C$15,Holidays)/'WBS Schedule'!$G$17))*'WBS Schedule'!$P$17</f>
        <v>0.64</v>
      </c>
      <c r="M79" s="123" t="n">
        <f aca="false">IF($C$16&lt;'WBS Schedule'!$H$17,0,MIN(1,NETWORKDAYS('WBS Schedule'!$H$17,$C$16,Holidays)/'WBS Schedule'!$G$17))*'WBS Schedule'!$P$17</f>
        <v>0.64</v>
      </c>
      <c r="N79" s="123" t="n">
        <f aca="false">IF($C$17&lt;'WBS Schedule'!$H$17,0,MIN(1,NETWORKDAYS('WBS Schedule'!$H$17,$C$17,Holidays)/'WBS Schedule'!$G$17))*'WBS Schedule'!$P$17</f>
        <v>0.64</v>
      </c>
      <c r="O79" s="123" t="n">
        <f aca="false">IF($C$18&lt;'WBS Schedule'!$H$17,0,MIN(1,NETWORKDAYS('WBS Schedule'!$H$17,$C$18,Holidays)/'WBS Schedule'!$G$17))*'WBS Schedule'!$P$17</f>
        <v>0.64</v>
      </c>
      <c r="P79" s="123" t="n">
        <f aca="false">IF($C$19&lt;'WBS Schedule'!$H$17,0,MIN(1,NETWORKDAYS('WBS Schedule'!$H$17,$C$19,Holidays)/'WBS Schedule'!$G$17))*'WBS Schedule'!$P$17</f>
        <v>0.64</v>
      </c>
      <c r="Q79" s="123" t="n">
        <f aca="false">IF($C$20&lt;'WBS Schedule'!$H$17,0,MIN(1,NETWORKDAYS('WBS Schedule'!$H$17,$C$20,Holidays)/'WBS Schedule'!$G$17))*'WBS Schedule'!$P$17</f>
        <v>0.64</v>
      </c>
      <c r="R79" s="123" t="n">
        <f aca="false">IF($C$21&lt;'WBS Schedule'!$H$17,0,MIN(1,NETWORKDAYS('WBS Schedule'!$H$17,$C$21,Holidays)/'WBS Schedule'!$G$17))*'WBS Schedule'!$P$17</f>
        <v>0.64</v>
      </c>
      <c r="S79" s="123" t="n">
        <f aca="false">IF($C$22&lt;'WBS Schedule'!$H$17,0,MIN(1,NETWORKDAYS('WBS Schedule'!$H$17,$C$22,Holidays)/'WBS Schedule'!$G$17))*'WBS Schedule'!$P$17</f>
        <v>0.64</v>
      </c>
      <c r="T79" s="123" t="n">
        <f aca="false">IF($C$23&lt;'WBS Schedule'!$H$17,0,MIN(1,NETWORKDAYS('WBS Schedule'!$H$17,$C$23,Holidays)/'WBS Schedule'!$G$17))*'WBS Schedule'!$P$17</f>
        <v>0.64</v>
      </c>
      <c r="U79" s="123" t="n">
        <f aca="false">IF($C$24&lt;'WBS Schedule'!$H$17,0,MIN(1,NETWORKDAYS('WBS Schedule'!$H$17,$C$24,Holidays)/'WBS Schedule'!$G$17))*'WBS Schedule'!$P$17</f>
        <v>0.64</v>
      </c>
      <c r="V79" s="123" t="n">
        <f aca="false">IF($C$25&lt;'WBS Schedule'!$H$17,0,MIN(1,NETWORKDAYS('WBS Schedule'!$H$17,$C$25,Holidays)/'WBS Schedule'!$G$17))*'WBS Schedule'!$P$17</f>
        <v>0.64</v>
      </c>
    </row>
    <row r="80" customFormat="false" ht="15" hidden="false" customHeight="false" outlineLevel="0" collapsed="false">
      <c r="A80" s="0" t="str">
        <f aca="false">'WBS Schedule'!A18</f>
        <v>1.10</v>
      </c>
      <c r="B80" s="123" t="n">
        <f aca="false">IF($C$5&lt;'WBS Schedule'!$H$18,0,MIN(1,NETWORKDAYS('WBS Schedule'!$H$18,$C$5,Holidays)/'WBS Schedule'!$G$18))*'WBS Schedule'!$P$18</f>
        <v>0</v>
      </c>
      <c r="C80" s="123" t="n">
        <f aca="false">IF($C$6&lt;'WBS Schedule'!$H$18,0,MIN(1,NETWORKDAYS('WBS Schedule'!$H$18,$C$6,Holidays)/'WBS Schedule'!$G$18))*'WBS Schedule'!$P$18</f>
        <v>0</v>
      </c>
      <c r="D80" s="123" t="n">
        <f aca="false">IF($C$7&lt;'WBS Schedule'!$H$18,0,MIN(1,NETWORKDAYS('WBS Schedule'!$H$18,$C$7,Holidays)/'WBS Schedule'!$G$18))*'WBS Schedule'!$P$18</f>
        <v>1.28</v>
      </c>
      <c r="E80" s="123" t="n">
        <f aca="false">IF($C$8&lt;'WBS Schedule'!$H$18,0,MIN(1,NETWORKDAYS('WBS Schedule'!$H$18,$C$8,Holidays)/'WBS Schedule'!$G$18))*'WBS Schedule'!$P$18</f>
        <v>1.28</v>
      </c>
      <c r="F80" s="123" t="n">
        <f aca="false">IF($C$9&lt;'WBS Schedule'!$H$18,0,MIN(1,NETWORKDAYS('WBS Schedule'!$H$18,$C$9,Holidays)/'WBS Schedule'!$G$18))*'WBS Schedule'!$P$18</f>
        <v>1.28</v>
      </c>
      <c r="G80" s="123" t="n">
        <f aca="false">IF($C$10&lt;'WBS Schedule'!$H$18,0,MIN(1,NETWORKDAYS('WBS Schedule'!$H$18,$C$10,Holidays)/'WBS Schedule'!$G$18))*'WBS Schedule'!$P$18</f>
        <v>1.28</v>
      </c>
      <c r="H80" s="123" t="n">
        <f aca="false">IF($C$11&lt;'WBS Schedule'!$H$18,0,MIN(1,NETWORKDAYS('WBS Schedule'!$H$18,$C$11,Holidays)/'WBS Schedule'!$G$18))*'WBS Schedule'!$P$18</f>
        <v>1.28</v>
      </c>
      <c r="I80" s="123" t="n">
        <f aca="false">IF($C$12&lt;'WBS Schedule'!$H$18,0,MIN(1,NETWORKDAYS('WBS Schedule'!$H$18,$C$12,Holidays)/'WBS Schedule'!$G$18))*'WBS Schedule'!$P$18</f>
        <v>1.28</v>
      </c>
      <c r="J80" s="123" t="n">
        <f aca="false">IF($C$13&lt;'WBS Schedule'!$H$18,0,MIN(1,NETWORKDAYS('WBS Schedule'!$H$18,$C$13,Holidays)/'WBS Schedule'!$G$18))*'WBS Schedule'!$P$18</f>
        <v>1.28</v>
      </c>
      <c r="K80" s="123" t="n">
        <f aca="false">IF($C$14&lt;'WBS Schedule'!$H$18,0,MIN(1,NETWORKDAYS('WBS Schedule'!$H$18,$C$14,Holidays)/'WBS Schedule'!$G$18))*'WBS Schedule'!$P$18</f>
        <v>1.28</v>
      </c>
      <c r="L80" s="123" t="n">
        <f aca="false">IF($C$15&lt;'WBS Schedule'!$H$18,0,MIN(1,NETWORKDAYS('WBS Schedule'!$H$18,$C$15,Holidays)/'WBS Schedule'!$G$18))*'WBS Schedule'!$P$18</f>
        <v>1.28</v>
      </c>
      <c r="M80" s="123" t="n">
        <f aca="false">IF($C$16&lt;'WBS Schedule'!$H$18,0,MIN(1,NETWORKDAYS('WBS Schedule'!$H$18,$C$16,Holidays)/'WBS Schedule'!$G$18))*'WBS Schedule'!$P$18</f>
        <v>1.28</v>
      </c>
      <c r="N80" s="123" t="n">
        <f aca="false">IF($C$17&lt;'WBS Schedule'!$H$18,0,MIN(1,NETWORKDAYS('WBS Schedule'!$H$18,$C$17,Holidays)/'WBS Schedule'!$G$18))*'WBS Schedule'!$P$18</f>
        <v>1.28</v>
      </c>
      <c r="O80" s="123" t="n">
        <f aca="false">IF($C$18&lt;'WBS Schedule'!$H$18,0,MIN(1,NETWORKDAYS('WBS Schedule'!$H$18,$C$18,Holidays)/'WBS Schedule'!$G$18))*'WBS Schedule'!$P$18</f>
        <v>1.28</v>
      </c>
      <c r="P80" s="123" t="n">
        <f aca="false">IF($C$19&lt;'WBS Schedule'!$H$18,0,MIN(1,NETWORKDAYS('WBS Schedule'!$H$18,$C$19,Holidays)/'WBS Schedule'!$G$18))*'WBS Schedule'!$P$18</f>
        <v>1.28</v>
      </c>
      <c r="Q80" s="123" t="n">
        <f aca="false">IF($C$20&lt;'WBS Schedule'!$H$18,0,MIN(1,NETWORKDAYS('WBS Schedule'!$H$18,$C$20,Holidays)/'WBS Schedule'!$G$18))*'WBS Schedule'!$P$18</f>
        <v>1.28</v>
      </c>
      <c r="R80" s="123" t="n">
        <f aca="false">IF($C$21&lt;'WBS Schedule'!$H$18,0,MIN(1,NETWORKDAYS('WBS Schedule'!$H$18,$C$21,Holidays)/'WBS Schedule'!$G$18))*'WBS Schedule'!$P$18</f>
        <v>1.28</v>
      </c>
      <c r="S80" s="123" t="n">
        <f aca="false">IF($C$22&lt;'WBS Schedule'!$H$18,0,MIN(1,NETWORKDAYS('WBS Schedule'!$H$18,$C$22,Holidays)/'WBS Schedule'!$G$18))*'WBS Schedule'!$P$18</f>
        <v>1.28</v>
      </c>
      <c r="T80" s="123" t="n">
        <f aca="false">IF($C$23&lt;'WBS Schedule'!$H$18,0,MIN(1,NETWORKDAYS('WBS Schedule'!$H$18,$C$23,Holidays)/'WBS Schedule'!$G$18))*'WBS Schedule'!$P$18</f>
        <v>1.28</v>
      </c>
      <c r="U80" s="123" t="n">
        <f aca="false">IF($C$24&lt;'WBS Schedule'!$H$18,0,MIN(1,NETWORKDAYS('WBS Schedule'!$H$18,$C$24,Holidays)/'WBS Schedule'!$G$18))*'WBS Schedule'!$P$18</f>
        <v>1.28</v>
      </c>
      <c r="V80" s="123" t="n">
        <f aca="false">IF($C$25&lt;'WBS Schedule'!$H$18,0,MIN(1,NETWORKDAYS('WBS Schedule'!$H$18,$C$25,Holidays)/'WBS Schedule'!$G$18))*'WBS Schedule'!$P$18</f>
        <v>1.28</v>
      </c>
    </row>
    <row r="81" customFormat="false" ht="15" hidden="false" customHeight="false" outlineLevel="0" collapsed="false">
      <c r="A81" s="0" t="str">
        <f aca="false">'WBS Schedule'!A21</f>
        <v>2.1</v>
      </c>
      <c r="B81" s="123" t="n">
        <f aca="false">IF($C$5&lt;'WBS Schedule'!$H$21,0,MIN(1,NETWORKDAYS('WBS Schedule'!$H$21,$C$5,Holidays)/'WBS Schedule'!$G$21))*'WBS Schedule'!$P$21</f>
        <v>0</v>
      </c>
      <c r="C81" s="123" t="n">
        <f aca="false">IF($C$6&lt;'WBS Schedule'!$H$21,0,MIN(1,NETWORKDAYS('WBS Schedule'!$H$21,$C$6,Holidays)/'WBS Schedule'!$G$21))*'WBS Schedule'!$P$21</f>
        <v>0</v>
      </c>
      <c r="D81" s="123" t="n">
        <f aca="false">IF($C$7&lt;'WBS Schedule'!$H$21,0,MIN(1,NETWORKDAYS('WBS Schedule'!$H$21,$C$7,Holidays)/'WBS Schedule'!$G$21))*'WBS Schedule'!$P$21</f>
        <v>0</v>
      </c>
      <c r="E81" s="123" t="n">
        <f aca="false">IF($C$8&lt;'WBS Schedule'!$H$21,0,MIN(1,NETWORKDAYS('WBS Schedule'!$H$21,$C$8,Holidays)/'WBS Schedule'!$G$21))*'WBS Schedule'!$P$21</f>
        <v>0</v>
      </c>
      <c r="F81" s="123" t="n">
        <f aca="false">IF($C$9&lt;'WBS Schedule'!$H$21,0,MIN(1,NETWORKDAYS('WBS Schedule'!$H$21,$C$9,Holidays)/'WBS Schedule'!$G$21))*'WBS Schedule'!$P$21</f>
        <v>0.64</v>
      </c>
      <c r="G81" s="123" t="n">
        <f aca="false">IF($C$10&lt;'WBS Schedule'!$H$21,0,MIN(1,NETWORKDAYS('WBS Schedule'!$H$21,$C$10,Holidays)/'WBS Schedule'!$G$21))*'WBS Schedule'!$P$21</f>
        <v>0.64</v>
      </c>
      <c r="H81" s="123" t="n">
        <f aca="false">IF($C$11&lt;'WBS Schedule'!$H$21,0,MIN(1,NETWORKDAYS('WBS Schedule'!$H$21,$C$11,Holidays)/'WBS Schedule'!$G$21))*'WBS Schedule'!$P$21</f>
        <v>0.64</v>
      </c>
      <c r="I81" s="123" t="n">
        <f aca="false">IF($C$12&lt;'WBS Schedule'!$H$21,0,MIN(1,NETWORKDAYS('WBS Schedule'!$H$21,$C$12,Holidays)/'WBS Schedule'!$G$21))*'WBS Schedule'!$P$21</f>
        <v>0.64</v>
      </c>
      <c r="J81" s="123" t="n">
        <f aca="false">IF($C$13&lt;'WBS Schedule'!$H$21,0,MIN(1,NETWORKDAYS('WBS Schedule'!$H$21,$C$13,Holidays)/'WBS Schedule'!$G$21))*'WBS Schedule'!$P$21</f>
        <v>0.64</v>
      </c>
      <c r="K81" s="123" t="n">
        <f aca="false">IF($C$14&lt;'WBS Schedule'!$H$21,0,MIN(1,NETWORKDAYS('WBS Schedule'!$H$21,$C$14,Holidays)/'WBS Schedule'!$G$21))*'WBS Schedule'!$P$21</f>
        <v>0.64</v>
      </c>
      <c r="L81" s="123" t="n">
        <f aca="false">IF($C$15&lt;'WBS Schedule'!$H$21,0,MIN(1,NETWORKDAYS('WBS Schedule'!$H$21,$C$15,Holidays)/'WBS Schedule'!$G$21))*'WBS Schedule'!$P$21</f>
        <v>0.64</v>
      </c>
      <c r="M81" s="123" t="n">
        <f aca="false">IF($C$16&lt;'WBS Schedule'!$H$21,0,MIN(1,NETWORKDAYS('WBS Schedule'!$H$21,$C$16,Holidays)/'WBS Schedule'!$G$21))*'WBS Schedule'!$P$21</f>
        <v>0.64</v>
      </c>
      <c r="N81" s="123" t="n">
        <f aca="false">IF($C$17&lt;'WBS Schedule'!$H$21,0,MIN(1,NETWORKDAYS('WBS Schedule'!$H$21,$C$17,Holidays)/'WBS Schedule'!$G$21))*'WBS Schedule'!$P$21</f>
        <v>0.64</v>
      </c>
      <c r="O81" s="123" t="n">
        <f aca="false">IF($C$18&lt;'WBS Schedule'!$H$21,0,MIN(1,NETWORKDAYS('WBS Schedule'!$H$21,$C$18,Holidays)/'WBS Schedule'!$G$21))*'WBS Schedule'!$P$21</f>
        <v>0.64</v>
      </c>
      <c r="P81" s="123" t="n">
        <f aca="false">IF($C$19&lt;'WBS Schedule'!$H$21,0,MIN(1,NETWORKDAYS('WBS Schedule'!$H$21,$C$19,Holidays)/'WBS Schedule'!$G$21))*'WBS Schedule'!$P$21</f>
        <v>0.64</v>
      </c>
      <c r="Q81" s="123" t="n">
        <f aca="false">IF($C$20&lt;'WBS Schedule'!$H$21,0,MIN(1,NETWORKDAYS('WBS Schedule'!$H$21,$C$20,Holidays)/'WBS Schedule'!$G$21))*'WBS Schedule'!$P$21</f>
        <v>0.64</v>
      </c>
      <c r="R81" s="123" t="n">
        <f aca="false">IF($C$21&lt;'WBS Schedule'!$H$21,0,MIN(1,NETWORKDAYS('WBS Schedule'!$H$21,$C$21,Holidays)/'WBS Schedule'!$G$21))*'WBS Schedule'!$P$21</f>
        <v>0.64</v>
      </c>
      <c r="S81" s="123" t="n">
        <f aca="false">IF($C$22&lt;'WBS Schedule'!$H$21,0,MIN(1,NETWORKDAYS('WBS Schedule'!$H$21,$C$22,Holidays)/'WBS Schedule'!$G$21))*'WBS Schedule'!$P$21</f>
        <v>0.64</v>
      </c>
      <c r="T81" s="123" t="n">
        <f aca="false">IF($C$23&lt;'WBS Schedule'!$H$21,0,MIN(1,NETWORKDAYS('WBS Schedule'!$H$21,$C$23,Holidays)/'WBS Schedule'!$G$21))*'WBS Schedule'!$P$21</f>
        <v>0.64</v>
      </c>
      <c r="U81" s="123" t="n">
        <f aca="false">IF($C$24&lt;'WBS Schedule'!$H$21,0,MIN(1,NETWORKDAYS('WBS Schedule'!$H$21,$C$24,Holidays)/'WBS Schedule'!$G$21))*'WBS Schedule'!$P$21</f>
        <v>0.64</v>
      </c>
      <c r="V81" s="123" t="n">
        <f aca="false">IF($C$25&lt;'WBS Schedule'!$H$21,0,MIN(1,NETWORKDAYS('WBS Schedule'!$H$21,$C$25,Holidays)/'WBS Schedule'!$G$21))*'WBS Schedule'!$P$21</f>
        <v>0.64</v>
      </c>
    </row>
    <row r="82" customFormat="false" ht="15" hidden="false" customHeight="false" outlineLevel="0" collapsed="false">
      <c r="A82" s="0" t="str">
        <f aca="false">'WBS Schedule'!A22</f>
        <v>2.2</v>
      </c>
      <c r="B82" s="123" t="n">
        <f aca="false">IF($C$5&lt;'WBS Schedule'!$H$22,0,MIN(1,NETWORKDAYS('WBS Schedule'!$H$22,$C$5,Holidays)/'WBS Schedule'!$G$22))*'WBS Schedule'!$P$22</f>
        <v>0</v>
      </c>
      <c r="C82" s="123" t="n">
        <f aca="false">IF($C$6&lt;'WBS Schedule'!$H$22,0,MIN(1,NETWORKDAYS('WBS Schedule'!$H$22,$C$6,Holidays)/'WBS Schedule'!$G$22))*'WBS Schedule'!$P$22</f>
        <v>0</v>
      </c>
      <c r="D82" s="123" t="n">
        <f aca="false">IF($C$7&lt;'WBS Schedule'!$H$22,0,MIN(1,NETWORKDAYS('WBS Schedule'!$H$22,$C$7,Holidays)/'WBS Schedule'!$G$22))*'WBS Schedule'!$P$22</f>
        <v>0</v>
      </c>
      <c r="E82" s="123" t="n">
        <f aca="false">IF($C$8&lt;'WBS Schedule'!$H$22,0,MIN(1,NETWORKDAYS('WBS Schedule'!$H$22,$C$8,Holidays)/'WBS Schedule'!$G$22))*'WBS Schedule'!$P$22</f>
        <v>0</v>
      </c>
      <c r="F82" s="123" t="n">
        <f aca="false">IF($C$9&lt;'WBS Schedule'!$H$22,0,MIN(1,NETWORKDAYS('WBS Schedule'!$H$22,$C$9,Holidays)/'WBS Schedule'!$G$22))*'WBS Schedule'!$P$22</f>
        <v>1.28</v>
      </c>
      <c r="G82" s="123" t="n">
        <f aca="false">IF($C$10&lt;'WBS Schedule'!$H$22,0,MIN(1,NETWORKDAYS('WBS Schedule'!$H$22,$C$10,Holidays)/'WBS Schedule'!$G$22))*'WBS Schedule'!$P$22</f>
        <v>1.28</v>
      </c>
      <c r="H82" s="123" t="n">
        <f aca="false">IF($C$11&lt;'WBS Schedule'!$H$22,0,MIN(1,NETWORKDAYS('WBS Schedule'!$H$22,$C$11,Holidays)/'WBS Schedule'!$G$22))*'WBS Schedule'!$P$22</f>
        <v>1.28</v>
      </c>
      <c r="I82" s="123" t="n">
        <f aca="false">IF($C$12&lt;'WBS Schedule'!$H$22,0,MIN(1,NETWORKDAYS('WBS Schedule'!$H$22,$C$12,Holidays)/'WBS Schedule'!$G$22))*'WBS Schedule'!$P$22</f>
        <v>1.28</v>
      </c>
      <c r="J82" s="123" t="n">
        <f aca="false">IF($C$13&lt;'WBS Schedule'!$H$22,0,MIN(1,NETWORKDAYS('WBS Schedule'!$H$22,$C$13,Holidays)/'WBS Schedule'!$G$22))*'WBS Schedule'!$P$22</f>
        <v>1.28</v>
      </c>
      <c r="K82" s="123" t="n">
        <f aca="false">IF($C$14&lt;'WBS Schedule'!$H$22,0,MIN(1,NETWORKDAYS('WBS Schedule'!$H$22,$C$14,Holidays)/'WBS Schedule'!$G$22))*'WBS Schedule'!$P$22</f>
        <v>1.28</v>
      </c>
      <c r="L82" s="123" t="n">
        <f aca="false">IF($C$15&lt;'WBS Schedule'!$H$22,0,MIN(1,NETWORKDAYS('WBS Schedule'!$H$22,$C$15,Holidays)/'WBS Schedule'!$G$22))*'WBS Schedule'!$P$22</f>
        <v>1.28</v>
      </c>
      <c r="M82" s="123" t="n">
        <f aca="false">IF($C$16&lt;'WBS Schedule'!$H$22,0,MIN(1,NETWORKDAYS('WBS Schedule'!$H$22,$C$16,Holidays)/'WBS Schedule'!$G$22))*'WBS Schedule'!$P$22</f>
        <v>1.28</v>
      </c>
      <c r="N82" s="123" t="n">
        <f aca="false">IF($C$17&lt;'WBS Schedule'!$H$22,0,MIN(1,NETWORKDAYS('WBS Schedule'!$H$22,$C$17,Holidays)/'WBS Schedule'!$G$22))*'WBS Schedule'!$P$22</f>
        <v>1.28</v>
      </c>
      <c r="O82" s="123" t="n">
        <f aca="false">IF($C$18&lt;'WBS Schedule'!$H$22,0,MIN(1,NETWORKDAYS('WBS Schedule'!$H$22,$C$18,Holidays)/'WBS Schedule'!$G$22))*'WBS Schedule'!$P$22</f>
        <v>1.28</v>
      </c>
      <c r="P82" s="123" t="n">
        <f aca="false">IF($C$19&lt;'WBS Schedule'!$H$22,0,MIN(1,NETWORKDAYS('WBS Schedule'!$H$22,$C$19,Holidays)/'WBS Schedule'!$G$22))*'WBS Schedule'!$P$22</f>
        <v>1.28</v>
      </c>
      <c r="Q82" s="123" t="n">
        <f aca="false">IF($C$20&lt;'WBS Schedule'!$H$22,0,MIN(1,NETWORKDAYS('WBS Schedule'!$H$22,$C$20,Holidays)/'WBS Schedule'!$G$22))*'WBS Schedule'!$P$22</f>
        <v>1.28</v>
      </c>
      <c r="R82" s="123" t="n">
        <f aca="false">IF($C$21&lt;'WBS Schedule'!$H$22,0,MIN(1,NETWORKDAYS('WBS Schedule'!$H$22,$C$21,Holidays)/'WBS Schedule'!$G$22))*'WBS Schedule'!$P$22</f>
        <v>1.28</v>
      </c>
      <c r="S82" s="123" t="n">
        <f aca="false">IF($C$22&lt;'WBS Schedule'!$H$22,0,MIN(1,NETWORKDAYS('WBS Schedule'!$H$22,$C$22,Holidays)/'WBS Schedule'!$G$22))*'WBS Schedule'!$P$22</f>
        <v>1.28</v>
      </c>
      <c r="T82" s="123" t="n">
        <f aca="false">IF($C$23&lt;'WBS Schedule'!$H$22,0,MIN(1,NETWORKDAYS('WBS Schedule'!$H$22,$C$23,Holidays)/'WBS Schedule'!$G$22))*'WBS Schedule'!$P$22</f>
        <v>1.28</v>
      </c>
      <c r="U82" s="123" t="n">
        <f aca="false">IF($C$24&lt;'WBS Schedule'!$H$22,0,MIN(1,NETWORKDAYS('WBS Schedule'!$H$22,$C$24,Holidays)/'WBS Schedule'!$G$22))*'WBS Schedule'!$P$22</f>
        <v>1.28</v>
      </c>
      <c r="V82" s="123" t="n">
        <f aca="false">IF($C$25&lt;'WBS Schedule'!$H$22,0,MIN(1,NETWORKDAYS('WBS Schedule'!$H$22,$C$25,Holidays)/'WBS Schedule'!$G$22))*'WBS Schedule'!$P$22</f>
        <v>1.28</v>
      </c>
    </row>
    <row r="83" customFormat="false" ht="15" hidden="false" customHeight="false" outlineLevel="0" collapsed="false">
      <c r="A83" s="0" t="str">
        <f aca="false">'WBS Schedule'!A23</f>
        <v>2.3</v>
      </c>
      <c r="B83" s="123" t="n">
        <f aca="false">IF($C$5&lt;'WBS Schedule'!$H$23,0,MIN(1,NETWORKDAYS('WBS Schedule'!$H$23,$C$5,Holidays)/'WBS Schedule'!$G$23))*'WBS Schedule'!$P$23</f>
        <v>0</v>
      </c>
      <c r="C83" s="123" t="n">
        <f aca="false">IF($C$6&lt;'WBS Schedule'!$H$23,0,MIN(1,NETWORKDAYS('WBS Schedule'!$H$23,$C$6,Holidays)/'WBS Schedule'!$G$23))*'WBS Schedule'!$P$23</f>
        <v>0</v>
      </c>
      <c r="D83" s="123" t="n">
        <f aca="false">IF($C$7&lt;'WBS Schedule'!$H$23,0,MIN(1,NETWORKDAYS('WBS Schedule'!$H$23,$C$7,Holidays)/'WBS Schedule'!$G$23))*'WBS Schedule'!$P$23</f>
        <v>0</v>
      </c>
      <c r="E83" s="123" t="n">
        <f aca="false">IF($C$8&lt;'WBS Schedule'!$H$23,0,MIN(1,NETWORKDAYS('WBS Schedule'!$H$23,$C$8,Holidays)/'WBS Schedule'!$G$23))*'WBS Schedule'!$P$23</f>
        <v>0</v>
      </c>
      <c r="F83" s="123" t="n">
        <f aca="false">IF($C$9&lt;'WBS Schedule'!$H$23,0,MIN(1,NETWORKDAYS('WBS Schedule'!$H$23,$C$9,Holidays)/'WBS Schedule'!$G$23))*'WBS Schedule'!$P$23</f>
        <v>0</v>
      </c>
      <c r="G83" s="123" t="n">
        <f aca="false">IF($C$10&lt;'WBS Schedule'!$H$23,0,MIN(1,NETWORKDAYS('WBS Schedule'!$H$23,$C$10,Holidays)/'WBS Schedule'!$G$23))*'WBS Schedule'!$P$23</f>
        <v>1.28</v>
      </c>
      <c r="H83" s="123" t="n">
        <f aca="false">IF($C$11&lt;'WBS Schedule'!$H$23,0,MIN(1,NETWORKDAYS('WBS Schedule'!$H$23,$C$11,Holidays)/'WBS Schedule'!$G$23))*'WBS Schedule'!$P$23</f>
        <v>1.28</v>
      </c>
      <c r="I83" s="123" t="n">
        <f aca="false">IF($C$12&lt;'WBS Schedule'!$H$23,0,MIN(1,NETWORKDAYS('WBS Schedule'!$H$23,$C$12,Holidays)/'WBS Schedule'!$G$23))*'WBS Schedule'!$P$23</f>
        <v>1.28</v>
      </c>
      <c r="J83" s="123" t="n">
        <f aca="false">IF($C$13&lt;'WBS Schedule'!$H$23,0,MIN(1,NETWORKDAYS('WBS Schedule'!$H$23,$C$13,Holidays)/'WBS Schedule'!$G$23))*'WBS Schedule'!$P$23</f>
        <v>1.28</v>
      </c>
      <c r="K83" s="123" t="n">
        <f aca="false">IF($C$14&lt;'WBS Schedule'!$H$23,0,MIN(1,NETWORKDAYS('WBS Schedule'!$H$23,$C$14,Holidays)/'WBS Schedule'!$G$23))*'WBS Schedule'!$P$23</f>
        <v>1.28</v>
      </c>
      <c r="L83" s="123" t="n">
        <f aca="false">IF($C$15&lt;'WBS Schedule'!$H$23,0,MIN(1,NETWORKDAYS('WBS Schedule'!$H$23,$C$15,Holidays)/'WBS Schedule'!$G$23))*'WBS Schedule'!$P$23</f>
        <v>1.28</v>
      </c>
      <c r="M83" s="123" t="n">
        <f aca="false">IF($C$16&lt;'WBS Schedule'!$H$23,0,MIN(1,NETWORKDAYS('WBS Schedule'!$H$23,$C$16,Holidays)/'WBS Schedule'!$G$23))*'WBS Schedule'!$P$23</f>
        <v>1.28</v>
      </c>
      <c r="N83" s="123" t="n">
        <f aca="false">IF($C$17&lt;'WBS Schedule'!$H$23,0,MIN(1,NETWORKDAYS('WBS Schedule'!$H$23,$C$17,Holidays)/'WBS Schedule'!$G$23))*'WBS Schedule'!$P$23</f>
        <v>1.28</v>
      </c>
      <c r="O83" s="123" t="n">
        <f aca="false">IF($C$18&lt;'WBS Schedule'!$H$23,0,MIN(1,NETWORKDAYS('WBS Schedule'!$H$23,$C$18,Holidays)/'WBS Schedule'!$G$23))*'WBS Schedule'!$P$23</f>
        <v>1.28</v>
      </c>
      <c r="P83" s="123" t="n">
        <f aca="false">IF($C$19&lt;'WBS Schedule'!$H$23,0,MIN(1,NETWORKDAYS('WBS Schedule'!$H$23,$C$19,Holidays)/'WBS Schedule'!$G$23))*'WBS Schedule'!$P$23</f>
        <v>1.28</v>
      </c>
      <c r="Q83" s="123" t="n">
        <f aca="false">IF($C$20&lt;'WBS Schedule'!$H$23,0,MIN(1,NETWORKDAYS('WBS Schedule'!$H$23,$C$20,Holidays)/'WBS Schedule'!$G$23))*'WBS Schedule'!$P$23</f>
        <v>1.28</v>
      </c>
      <c r="R83" s="123" t="n">
        <f aca="false">IF($C$21&lt;'WBS Schedule'!$H$23,0,MIN(1,NETWORKDAYS('WBS Schedule'!$H$23,$C$21,Holidays)/'WBS Schedule'!$G$23))*'WBS Schedule'!$P$23</f>
        <v>1.28</v>
      </c>
      <c r="S83" s="123" t="n">
        <f aca="false">IF($C$22&lt;'WBS Schedule'!$H$23,0,MIN(1,NETWORKDAYS('WBS Schedule'!$H$23,$C$22,Holidays)/'WBS Schedule'!$G$23))*'WBS Schedule'!$P$23</f>
        <v>1.28</v>
      </c>
      <c r="T83" s="123" t="n">
        <f aca="false">IF($C$23&lt;'WBS Schedule'!$H$23,0,MIN(1,NETWORKDAYS('WBS Schedule'!$H$23,$C$23,Holidays)/'WBS Schedule'!$G$23))*'WBS Schedule'!$P$23</f>
        <v>1.28</v>
      </c>
      <c r="U83" s="123" t="n">
        <f aca="false">IF($C$24&lt;'WBS Schedule'!$H$23,0,MIN(1,NETWORKDAYS('WBS Schedule'!$H$23,$C$24,Holidays)/'WBS Schedule'!$G$23))*'WBS Schedule'!$P$23</f>
        <v>1.28</v>
      </c>
      <c r="V83" s="123" t="n">
        <f aca="false">IF($C$25&lt;'WBS Schedule'!$H$23,0,MIN(1,NETWORKDAYS('WBS Schedule'!$H$23,$C$25,Holidays)/'WBS Schedule'!$G$23))*'WBS Schedule'!$P$23</f>
        <v>1.28</v>
      </c>
    </row>
    <row r="84" customFormat="false" ht="15" hidden="false" customHeight="false" outlineLevel="0" collapsed="false">
      <c r="A84" s="0" t="str">
        <f aca="false">'WBS Schedule'!A24</f>
        <v>2.4</v>
      </c>
      <c r="B84" s="123" t="n">
        <f aca="false">IF($C$5&lt;'WBS Schedule'!$H$24,0,MIN(1,NETWORKDAYS('WBS Schedule'!$H$24,$C$5,Holidays)/'WBS Schedule'!$G$24))*'WBS Schedule'!$P$24</f>
        <v>0</v>
      </c>
      <c r="C84" s="123" t="n">
        <f aca="false">IF($C$6&lt;'WBS Schedule'!$H$24,0,MIN(1,NETWORKDAYS('WBS Schedule'!$H$24,$C$6,Holidays)/'WBS Schedule'!$G$24))*'WBS Schedule'!$P$24</f>
        <v>0</v>
      </c>
      <c r="D84" s="123" t="n">
        <f aca="false">IF($C$7&lt;'WBS Schedule'!$H$24,0,MIN(1,NETWORKDAYS('WBS Schedule'!$H$24,$C$7,Holidays)/'WBS Schedule'!$G$24))*'WBS Schedule'!$P$24</f>
        <v>0</v>
      </c>
      <c r="E84" s="123" t="n">
        <f aca="false">IF($C$8&lt;'WBS Schedule'!$H$24,0,MIN(1,NETWORKDAYS('WBS Schedule'!$H$24,$C$8,Holidays)/'WBS Schedule'!$G$24))*'WBS Schedule'!$P$24</f>
        <v>0</v>
      </c>
      <c r="F84" s="123" t="n">
        <f aca="false">IF($C$9&lt;'WBS Schedule'!$H$24,0,MIN(1,NETWORKDAYS('WBS Schedule'!$H$24,$C$9,Holidays)/'WBS Schedule'!$G$24))*'WBS Schedule'!$P$24</f>
        <v>0</v>
      </c>
      <c r="G84" s="123" t="n">
        <f aca="false">IF($C$10&lt;'WBS Schedule'!$H$24,0,MIN(1,NETWORKDAYS('WBS Schedule'!$H$24,$C$10,Holidays)/'WBS Schedule'!$G$24))*'WBS Schedule'!$P$24</f>
        <v>0.32</v>
      </c>
      <c r="H84" s="123" t="n">
        <f aca="false">IF($C$11&lt;'WBS Schedule'!$H$24,0,MIN(1,NETWORKDAYS('WBS Schedule'!$H$24,$C$11,Holidays)/'WBS Schedule'!$G$24))*'WBS Schedule'!$P$24</f>
        <v>0.32</v>
      </c>
      <c r="I84" s="123" t="n">
        <f aca="false">IF($C$12&lt;'WBS Schedule'!$H$24,0,MIN(1,NETWORKDAYS('WBS Schedule'!$H$24,$C$12,Holidays)/'WBS Schedule'!$G$24))*'WBS Schedule'!$P$24</f>
        <v>0.32</v>
      </c>
      <c r="J84" s="123" t="n">
        <f aca="false">IF($C$13&lt;'WBS Schedule'!$H$24,0,MIN(1,NETWORKDAYS('WBS Schedule'!$H$24,$C$13,Holidays)/'WBS Schedule'!$G$24))*'WBS Schedule'!$P$24</f>
        <v>0.32</v>
      </c>
      <c r="K84" s="123" t="n">
        <f aca="false">IF($C$14&lt;'WBS Schedule'!$H$24,0,MIN(1,NETWORKDAYS('WBS Schedule'!$H$24,$C$14,Holidays)/'WBS Schedule'!$G$24))*'WBS Schedule'!$P$24</f>
        <v>0.32</v>
      </c>
      <c r="L84" s="123" t="n">
        <f aca="false">IF($C$15&lt;'WBS Schedule'!$H$24,0,MIN(1,NETWORKDAYS('WBS Schedule'!$H$24,$C$15,Holidays)/'WBS Schedule'!$G$24))*'WBS Schedule'!$P$24</f>
        <v>0.32</v>
      </c>
      <c r="M84" s="123" t="n">
        <f aca="false">IF($C$16&lt;'WBS Schedule'!$H$24,0,MIN(1,NETWORKDAYS('WBS Schedule'!$H$24,$C$16,Holidays)/'WBS Schedule'!$G$24))*'WBS Schedule'!$P$24</f>
        <v>0.32</v>
      </c>
      <c r="N84" s="123" t="n">
        <f aca="false">IF($C$17&lt;'WBS Schedule'!$H$24,0,MIN(1,NETWORKDAYS('WBS Schedule'!$H$24,$C$17,Holidays)/'WBS Schedule'!$G$24))*'WBS Schedule'!$P$24</f>
        <v>0.32</v>
      </c>
      <c r="O84" s="123" t="n">
        <f aca="false">IF($C$18&lt;'WBS Schedule'!$H$24,0,MIN(1,NETWORKDAYS('WBS Schedule'!$H$24,$C$18,Holidays)/'WBS Schedule'!$G$24))*'WBS Schedule'!$P$24</f>
        <v>0.32</v>
      </c>
      <c r="P84" s="123" t="n">
        <f aca="false">IF($C$19&lt;'WBS Schedule'!$H$24,0,MIN(1,NETWORKDAYS('WBS Schedule'!$H$24,$C$19,Holidays)/'WBS Schedule'!$G$24))*'WBS Schedule'!$P$24</f>
        <v>0.32</v>
      </c>
      <c r="Q84" s="123" t="n">
        <f aca="false">IF($C$20&lt;'WBS Schedule'!$H$24,0,MIN(1,NETWORKDAYS('WBS Schedule'!$H$24,$C$20,Holidays)/'WBS Schedule'!$G$24))*'WBS Schedule'!$P$24</f>
        <v>0.32</v>
      </c>
      <c r="R84" s="123" t="n">
        <f aca="false">IF($C$21&lt;'WBS Schedule'!$H$24,0,MIN(1,NETWORKDAYS('WBS Schedule'!$H$24,$C$21,Holidays)/'WBS Schedule'!$G$24))*'WBS Schedule'!$P$24</f>
        <v>0.32</v>
      </c>
      <c r="S84" s="123" t="n">
        <f aca="false">IF($C$22&lt;'WBS Schedule'!$H$24,0,MIN(1,NETWORKDAYS('WBS Schedule'!$H$24,$C$22,Holidays)/'WBS Schedule'!$G$24))*'WBS Schedule'!$P$24</f>
        <v>0.32</v>
      </c>
      <c r="T84" s="123" t="n">
        <f aca="false">IF($C$23&lt;'WBS Schedule'!$H$24,0,MIN(1,NETWORKDAYS('WBS Schedule'!$H$24,$C$23,Holidays)/'WBS Schedule'!$G$24))*'WBS Schedule'!$P$24</f>
        <v>0.32</v>
      </c>
      <c r="U84" s="123" t="n">
        <f aca="false">IF($C$24&lt;'WBS Schedule'!$H$24,0,MIN(1,NETWORKDAYS('WBS Schedule'!$H$24,$C$24,Holidays)/'WBS Schedule'!$G$24))*'WBS Schedule'!$P$24</f>
        <v>0.32</v>
      </c>
      <c r="V84" s="123" t="n">
        <f aca="false">IF($C$25&lt;'WBS Schedule'!$H$24,0,MIN(1,NETWORKDAYS('WBS Schedule'!$H$24,$C$25,Holidays)/'WBS Schedule'!$G$24))*'WBS Schedule'!$P$24</f>
        <v>0.32</v>
      </c>
    </row>
    <row r="85" customFormat="false" ht="15" hidden="false" customHeight="false" outlineLevel="0" collapsed="false">
      <c r="A85" s="0" t="str">
        <f aca="false">'WBS Schedule'!A25</f>
        <v>2.5</v>
      </c>
      <c r="B85" s="123" t="n">
        <f aca="false">IF($C$5&lt;'WBS Schedule'!$H$25,0,MIN(1,NETWORKDAYS('WBS Schedule'!$H$25,$C$5,Holidays)/'WBS Schedule'!$G$25))*'WBS Schedule'!$P$25</f>
        <v>0</v>
      </c>
      <c r="C85" s="123" t="n">
        <f aca="false">IF($C$6&lt;'WBS Schedule'!$H$25,0,MIN(1,NETWORKDAYS('WBS Schedule'!$H$25,$C$6,Holidays)/'WBS Schedule'!$G$25))*'WBS Schedule'!$P$25</f>
        <v>0</v>
      </c>
      <c r="D85" s="123" t="n">
        <f aca="false">IF($C$7&lt;'WBS Schedule'!$H$25,0,MIN(1,NETWORKDAYS('WBS Schedule'!$H$25,$C$7,Holidays)/'WBS Schedule'!$G$25))*'WBS Schedule'!$P$25</f>
        <v>0</v>
      </c>
      <c r="E85" s="123" t="n">
        <f aca="false">IF($C$8&lt;'WBS Schedule'!$H$25,0,MIN(1,NETWORKDAYS('WBS Schedule'!$H$25,$C$8,Holidays)/'WBS Schedule'!$G$25))*'WBS Schedule'!$P$25</f>
        <v>0</v>
      </c>
      <c r="F85" s="123" t="n">
        <f aca="false">IF($C$9&lt;'WBS Schedule'!$H$25,0,MIN(1,NETWORKDAYS('WBS Schedule'!$H$25,$C$9,Holidays)/'WBS Schedule'!$G$25))*'WBS Schedule'!$P$25</f>
        <v>2.88</v>
      </c>
      <c r="G85" s="123" t="n">
        <f aca="false">IF($C$10&lt;'WBS Schedule'!$H$25,0,MIN(1,NETWORKDAYS('WBS Schedule'!$H$25,$C$10,Holidays)/'WBS Schedule'!$G$25))*'WBS Schedule'!$P$25</f>
        <v>2.88</v>
      </c>
      <c r="H85" s="123" t="n">
        <f aca="false">IF($C$11&lt;'WBS Schedule'!$H$25,0,MIN(1,NETWORKDAYS('WBS Schedule'!$H$25,$C$11,Holidays)/'WBS Schedule'!$G$25))*'WBS Schedule'!$P$25</f>
        <v>2.88</v>
      </c>
      <c r="I85" s="123" t="n">
        <f aca="false">IF($C$12&lt;'WBS Schedule'!$H$25,0,MIN(1,NETWORKDAYS('WBS Schedule'!$H$25,$C$12,Holidays)/'WBS Schedule'!$G$25))*'WBS Schedule'!$P$25</f>
        <v>2.88</v>
      </c>
      <c r="J85" s="123" t="n">
        <f aca="false">IF($C$13&lt;'WBS Schedule'!$H$25,0,MIN(1,NETWORKDAYS('WBS Schedule'!$H$25,$C$13,Holidays)/'WBS Schedule'!$G$25))*'WBS Schedule'!$P$25</f>
        <v>2.88</v>
      </c>
      <c r="K85" s="123" t="n">
        <f aca="false">IF($C$14&lt;'WBS Schedule'!$H$25,0,MIN(1,NETWORKDAYS('WBS Schedule'!$H$25,$C$14,Holidays)/'WBS Schedule'!$G$25))*'WBS Schedule'!$P$25</f>
        <v>2.88</v>
      </c>
      <c r="L85" s="123" t="n">
        <f aca="false">IF($C$15&lt;'WBS Schedule'!$H$25,0,MIN(1,NETWORKDAYS('WBS Schedule'!$H$25,$C$15,Holidays)/'WBS Schedule'!$G$25))*'WBS Schedule'!$P$25</f>
        <v>2.88</v>
      </c>
      <c r="M85" s="123" t="n">
        <f aca="false">IF($C$16&lt;'WBS Schedule'!$H$25,0,MIN(1,NETWORKDAYS('WBS Schedule'!$H$25,$C$16,Holidays)/'WBS Schedule'!$G$25))*'WBS Schedule'!$P$25</f>
        <v>2.88</v>
      </c>
      <c r="N85" s="123" t="n">
        <f aca="false">IF($C$17&lt;'WBS Schedule'!$H$25,0,MIN(1,NETWORKDAYS('WBS Schedule'!$H$25,$C$17,Holidays)/'WBS Schedule'!$G$25))*'WBS Schedule'!$P$25</f>
        <v>2.88</v>
      </c>
      <c r="O85" s="123" t="n">
        <f aca="false">IF($C$18&lt;'WBS Schedule'!$H$25,0,MIN(1,NETWORKDAYS('WBS Schedule'!$H$25,$C$18,Holidays)/'WBS Schedule'!$G$25))*'WBS Schedule'!$P$25</f>
        <v>2.88</v>
      </c>
      <c r="P85" s="123" t="n">
        <f aca="false">IF($C$19&lt;'WBS Schedule'!$H$25,0,MIN(1,NETWORKDAYS('WBS Schedule'!$H$25,$C$19,Holidays)/'WBS Schedule'!$G$25))*'WBS Schedule'!$P$25</f>
        <v>2.88</v>
      </c>
      <c r="Q85" s="123" t="n">
        <f aca="false">IF($C$20&lt;'WBS Schedule'!$H$25,0,MIN(1,NETWORKDAYS('WBS Schedule'!$H$25,$C$20,Holidays)/'WBS Schedule'!$G$25))*'WBS Schedule'!$P$25</f>
        <v>2.88</v>
      </c>
      <c r="R85" s="123" t="n">
        <f aca="false">IF($C$21&lt;'WBS Schedule'!$H$25,0,MIN(1,NETWORKDAYS('WBS Schedule'!$H$25,$C$21,Holidays)/'WBS Schedule'!$G$25))*'WBS Schedule'!$P$25</f>
        <v>2.88</v>
      </c>
      <c r="S85" s="123" t="n">
        <f aca="false">IF($C$22&lt;'WBS Schedule'!$H$25,0,MIN(1,NETWORKDAYS('WBS Schedule'!$H$25,$C$22,Holidays)/'WBS Schedule'!$G$25))*'WBS Schedule'!$P$25</f>
        <v>2.88</v>
      </c>
      <c r="T85" s="123" t="n">
        <f aca="false">IF($C$23&lt;'WBS Schedule'!$H$25,0,MIN(1,NETWORKDAYS('WBS Schedule'!$H$25,$C$23,Holidays)/'WBS Schedule'!$G$25))*'WBS Schedule'!$P$25</f>
        <v>2.88</v>
      </c>
      <c r="U85" s="123" t="n">
        <f aca="false">IF($C$24&lt;'WBS Schedule'!$H$25,0,MIN(1,NETWORKDAYS('WBS Schedule'!$H$25,$C$24,Holidays)/'WBS Schedule'!$G$25))*'WBS Schedule'!$P$25</f>
        <v>2.88</v>
      </c>
      <c r="V85" s="123" t="n">
        <f aca="false">IF($C$25&lt;'WBS Schedule'!$H$25,0,MIN(1,NETWORKDAYS('WBS Schedule'!$H$25,$C$25,Holidays)/'WBS Schedule'!$G$25))*'WBS Schedule'!$P$25</f>
        <v>2.88</v>
      </c>
    </row>
    <row r="86" customFormat="false" ht="15" hidden="false" customHeight="false" outlineLevel="0" collapsed="false">
      <c r="A86" s="0" t="str">
        <f aca="false">'WBS Schedule'!A26</f>
        <v>2.6</v>
      </c>
      <c r="B86" s="123" t="n">
        <f aca="false">IF($C$5&lt;'WBS Schedule'!$H$26,0,MIN(1,NETWORKDAYS('WBS Schedule'!$H$26,$C$5,Holidays)/'WBS Schedule'!$G$26))*'WBS Schedule'!$P$26</f>
        <v>0</v>
      </c>
      <c r="C86" s="123" t="n">
        <f aca="false">IF($C$6&lt;'WBS Schedule'!$H$26,0,MIN(1,NETWORKDAYS('WBS Schedule'!$H$26,$C$6,Holidays)/'WBS Schedule'!$G$26))*'WBS Schedule'!$P$26</f>
        <v>0</v>
      </c>
      <c r="D86" s="123" t="n">
        <f aca="false">IF($C$7&lt;'WBS Schedule'!$H$26,0,MIN(1,NETWORKDAYS('WBS Schedule'!$H$26,$C$7,Holidays)/'WBS Schedule'!$G$26))*'WBS Schedule'!$P$26</f>
        <v>0</v>
      </c>
      <c r="E86" s="123" t="n">
        <f aca="false">IF($C$8&lt;'WBS Schedule'!$H$26,0,MIN(1,NETWORKDAYS('WBS Schedule'!$H$26,$C$8,Holidays)/'WBS Schedule'!$G$26))*'WBS Schedule'!$P$26</f>
        <v>0</v>
      </c>
      <c r="F86" s="123" t="n">
        <f aca="false">IF($C$9&lt;'WBS Schedule'!$H$26,0,MIN(1,NETWORKDAYS('WBS Schedule'!$H$26,$C$9,Holidays)/'WBS Schedule'!$G$26))*'WBS Schedule'!$P$26</f>
        <v>0</v>
      </c>
      <c r="G86" s="123" t="n">
        <f aca="false">IF($C$10&lt;'WBS Schedule'!$H$26,0,MIN(1,NETWORKDAYS('WBS Schedule'!$H$26,$C$10,Holidays)/'WBS Schedule'!$G$26))*'WBS Schedule'!$P$26</f>
        <v>1.28</v>
      </c>
      <c r="H86" s="123" t="n">
        <f aca="false">IF($C$11&lt;'WBS Schedule'!$H$26,0,MIN(1,NETWORKDAYS('WBS Schedule'!$H$26,$C$11,Holidays)/'WBS Schedule'!$G$26))*'WBS Schedule'!$P$26</f>
        <v>2.56</v>
      </c>
      <c r="I86" s="123" t="n">
        <f aca="false">IF($C$12&lt;'WBS Schedule'!$H$26,0,MIN(1,NETWORKDAYS('WBS Schedule'!$H$26,$C$12,Holidays)/'WBS Schedule'!$G$26))*'WBS Schedule'!$P$26</f>
        <v>2.56</v>
      </c>
      <c r="J86" s="123" t="n">
        <f aca="false">IF($C$13&lt;'WBS Schedule'!$H$26,0,MIN(1,NETWORKDAYS('WBS Schedule'!$H$26,$C$13,Holidays)/'WBS Schedule'!$G$26))*'WBS Schedule'!$P$26</f>
        <v>2.56</v>
      </c>
      <c r="K86" s="123" t="n">
        <f aca="false">IF($C$14&lt;'WBS Schedule'!$H$26,0,MIN(1,NETWORKDAYS('WBS Schedule'!$H$26,$C$14,Holidays)/'WBS Schedule'!$G$26))*'WBS Schedule'!$P$26</f>
        <v>2.56</v>
      </c>
      <c r="L86" s="123" t="n">
        <f aca="false">IF($C$15&lt;'WBS Schedule'!$H$26,0,MIN(1,NETWORKDAYS('WBS Schedule'!$H$26,$C$15,Holidays)/'WBS Schedule'!$G$26))*'WBS Schedule'!$P$26</f>
        <v>2.56</v>
      </c>
      <c r="M86" s="123" t="n">
        <f aca="false">IF($C$16&lt;'WBS Schedule'!$H$26,0,MIN(1,NETWORKDAYS('WBS Schedule'!$H$26,$C$16,Holidays)/'WBS Schedule'!$G$26))*'WBS Schedule'!$P$26</f>
        <v>2.56</v>
      </c>
      <c r="N86" s="123" t="n">
        <f aca="false">IF($C$17&lt;'WBS Schedule'!$H$26,0,MIN(1,NETWORKDAYS('WBS Schedule'!$H$26,$C$17,Holidays)/'WBS Schedule'!$G$26))*'WBS Schedule'!$P$26</f>
        <v>2.56</v>
      </c>
      <c r="O86" s="123" t="n">
        <f aca="false">IF($C$18&lt;'WBS Schedule'!$H$26,0,MIN(1,NETWORKDAYS('WBS Schedule'!$H$26,$C$18,Holidays)/'WBS Schedule'!$G$26))*'WBS Schedule'!$P$26</f>
        <v>2.56</v>
      </c>
      <c r="P86" s="123" t="n">
        <f aca="false">IF($C$19&lt;'WBS Schedule'!$H$26,0,MIN(1,NETWORKDAYS('WBS Schedule'!$H$26,$C$19,Holidays)/'WBS Schedule'!$G$26))*'WBS Schedule'!$P$26</f>
        <v>2.56</v>
      </c>
      <c r="Q86" s="123" t="n">
        <f aca="false">IF($C$20&lt;'WBS Schedule'!$H$26,0,MIN(1,NETWORKDAYS('WBS Schedule'!$H$26,$C$20,Holidays)/'WBS Schedule'!$G$26))*'WBS Schedule'!$P$26</f>
        <v>2.56</v>
      </c>
      <c r="R86" s="123" t="n">
        <f aca="false">IF($C$21&lt;'WBS Schedule'!$H$26,0,MIN(1,NETWORKDAYS('WBS Schedule'!$H$26,$C$21,Holidays)/'WBS Schedule'!$G$26))*'WBS Schedule'!$P$26</f>
        <v>2.56</v>
      </c>
      <c r="S86" s="123" t="n">
        <f aca="false">IF($C$22&lt;'WBS Schedule'!$H$26,0,MIN(1,NETWORKDAYS('WBS Schedule'!$H$26,$C$22,Holidays)/'WBS Schedule'!$G$26))*'WBS Schedule'!$P$26</f>
        <v>2.56</v>
      </c>
      <c r="T86" s="123" t="n">
        <f aca="false">IF($C$23&lt;'WBS Schedule'!$H$26,0,MIN(1,NETWORKDAYS('WBS Schedule'!$H$26,$C$23,Holidays)/'WBS Schedule'!$G$26))*'WBS Schedule'!$P$26</f>
        <v>2.56</v>
      </c>
      <c r="U86" s="123" t="n">
        <f aca="false">IF($C$24&lt;'WBS Schedule'!$H$26,0,MIN(1,NETWORKDAYS('WBS Schedule'!$H$26,$C$24,Holidays)/'WBS Schedule'!$G$26))*'WBS Schedule'!$P$26</f>
        <v>2.56</v>
      </c>
      <c r="V86" s="123" t="n">
        <f aca="false">IF($C$25&lt;'WBS Schedule'!$H$26,0,MIN(1,NETWORKDAYS('WBS Schedule'!$H$26,$C$25,Holidays)/'WBS Schedule'!$G$26))*'WBS Schedule'!$P$26</f>
        <v>2.56</v>
      </c>
    </row>
    <row r="87" customFormat="false" ht="15" hidden="false" customHeight="false" outlineLevel="0" collapsed="false">
      <c r="A87" s="0" t="str">
        <f aca="false">'WBS Schedule'!A27</f>
        <v>2.7</v>
      </c>
      <c r="B87" s="123" t="n">
        <f aca="false">IF($C$5&lt;'WBS Schedule'!$H$27,0,MIN(1,NETWORKDAYS('WBS Schedule'!$H$27,$C$5,Holidays)/'WBS Schedule'!$G$27))*'WBS Schedule'!$P$27</f>
        <v>0</v>
      </c>
      <c r="C87" s="123" t="n">
        <f aca="false">IF($C$6&lt;'WBS Schedule'!$H$27,0,MIN(1,NETWORKDAYS('WBS Schedule'!$H$27,$C$6,Holidays)/'WBS Schedule'!$G$27))*'WBS Schedule'!$P$27</f>
        <v>0</v>
      </c>
      <c r="D87" s="123" t="n">
        <f aca="false">IF($C$7&lt;'WBS Schedule'!$H$27,0,MIN(1,NETWORKDAYS('WBS Schedule'!$H$27,$C$7,Holidays)/'WBS Schedule'!$G$27))*'WBS Schedule'!$P$27</f>
        <v>0</v>
      </c>
      <c r="E87" s="123" t="n">
        <f aca="false">IF($C$8&lt;'WBS Schedule'!$H$27,0,MIN(1,NETWORKDAYS('WBS Schedule'!$H$27,$C$8,Holidays)/'WBS Schedule'!$G$27))*'WBS Schedule'!$P$27</f>
        <v>0</v>
      </c>
      <c r="F87" s="123" t="n">
        <f aca="false">IF($C$9&lt;'WBS Schedule'!$H$27,0,MIN(1,NETWORKDAYS('WBS Schedule'!$H$27,$C$9,Holidays)/'WBS Schedule'!$G$27))*'WBS Schedule'!$P$27</f>
        <v>0</v>
      </c>
      <c r="G87" s="123" t="n">
        <f aca="false">IF($C$10&lt;'WBS Schedule'!$H$27,0,MIN(1,NETWORKDAYS('WBS Schedule'!$H$27,$C$10,Holidays)/'WBS Schedule'!$G$27))*'WBS Schedule'!$P$27</f>
        <v>0</v>
      </c>
      <c r="H87" s="123" t="n">
        <f aca="false">IF($C$11&lt;'WBS Schedule'!$H$27,0,MIN(1,NETWORKDAYS('WBS Schedule'!$H$27,$C$11,Holidays)/'WBS Schedule'!$G$27))*'WBS Schedule'!$P$27</f>
        <v>1.92</v>
      </c>
      <c r="I87" s="123" t="n">
        <f aca="false">IF($C$12&lt;'WBS Schedule'!$H$27,0,MIN(1,NETWORKDAYS('WBS Schedule'!$H$27,$C$12,Holidays)/'WBS Schedule'!$G$27))*'WBS Schedule'!$P$27</f>
        <v>1.92</v>
      </c>
      <c r="J87" s="123" t="n">
        <f aca="false">IF($C$13&lt;'WBS Schedule'!$H$27,0,MIN(1,NETWORKDAYS('WBS Schedule'!$H$27,$C$13,Holidays)/'WBS Schedule'!$G$27))*'WBS Schedule'!$P$27</f>
        <v>1.92</v>
      </c>
      <c r="K87" s="123" t="n">
        <f aca="false">IF($C$14&lt;'WBS Schedule'!$H$27,0,MIN(1,NETWORKDAYS('WBS Schedule'!$H$27,$C$14,Holidays)/'WBS Schedule'!$G$27))*'WBS Schedule'!$P$27</f>
        <v>1.92</v>
      </c>
      <c r="L87" s="123" t="n">
        <f aca="false">IF($C$15&lt;'WBS Schedule'!$H$27,0,MIN(1,NETWORKDAYS('WBS Schedule'!$H$27,$C$15,Holidays)/'WBS Schedule'!$G$27))*'WBS Schedule'!$P$27</f>
        <v>1.92</v>
      </c>
      <c r="M87" s="123" t="n">
        <f aca="false">IF($C$16&lt;'WBS Schedule'!$H$27,0,MIN(1,NETWORKDAYS('WBS Schedule'!$H$27,$C$16,Holidays)/'WBS Schedule'!$G$27))*'WBS Schedule'!$P$27</f>
        <v>1.92</v>
      </c>
      <c r="N87" s="123" t="n">
        <f aca="false">IF($C$17&lt;'WBS Schedule'!$H$27,0,MIN(1,NETWORKDAYS('WBS Schedule'!$H$27,$C$17,Holidays)/'WBS Schedule'!$G$27))*'WBS Schedule'!$P$27</f>
        <v>1.92</v>
      </c>
      <c r="O87" s="123" t="n">
        <f aca="false">IF($C$18&lt;'WBS Schedule'!$H$27,0,MIN(1,NETWORKDAYS('WBS Schedule'!$H$27,$C$18,Holidays)/'WBS Schedule'!$G$27))*'WBS Schedule'!$P$27</f>
        <v>1.92</v>
      </c>
      <c r="P87" s="123" t="n">
        <f aca="false">IF($C$19&lt;'WBS Schedule'!$H$27,0,MIN(1,NETWORKDAYS('WBS Schedule'!$H$27,$C$19,Holidays)/'WBS Schedule'!$G$27))*'WBS Schedule'!$P$27</f>
        <v>1.92</v>
      </c>
      <c r="Q87" s="123" t="n">
        <f aca="false">IF($C$20&lt;'WBS Schedule'!$H$27,0,MIN(1,NETWORKDAYS('WBS Schedule'!$H$27,$C$20,Holidays)/'WBS Schedule'!$G$27))*'WBS Schedule'!$P$27</f>
        <v>1.92</v>
      </c>
      <c r="R87" s="123" t="n">
        <f aca="false">IF($C$21&lt;'WBS Schedule'!$H$27,0,MIN(1,NETWORKDAYS('WBS Schedule'!$H$27,$C$21,Holidays)/'WBS Schedule'!$G$27))*'WBS Schedule'!$P$27</f>
        <v>1.92</v>
      </c>
      <c r="S87" s="123" t="n">
        <f aca="false">IF($C$22&lt;'WBS Schedule'!$H$27,0,MIN(1,NETWORKDAYS('WBS Schedule'!$H$27,$C$22,Holidays)/'WBS Schedule'!$G$27))*'WBS Schedule'!$P$27</f>
        <v>1.92</v>
      </c>
      <c r="T87" s="123" t="n">
        <f aca="false">IF($C$23&lt;'WBS Schedule'!$H$27,0,MIN(1,NETWORKDAYS('WBS Schedule'!$H$27,$C$23,Holidays)/'WBS Schedule'!$G$27))*'WBS Schedule'!$P$27</f>
        <v>1.92</v>
      </c>
      <c r="U87" s="123" t="n">
        <f aca="false">IF($C$24&lt;'WBS Schedule'!$H$27,0,MIN(1,NETWORKDAYS('WBS Schedule'!$H$27,$C$24,Holidays)/'WBS Schedule'!$G$27))*'WBS Schedule'!$P$27</f>
        <v>1.92</v>
      </c>
      <c r="V87" s="123" t="n">
        <f aca="false">IF($C$25&lt;'WBS Schedule'!$H$27,0,MIN(1,NETWORKDAYS('WBS Schedule'!$H$27,$C$25,Holidays)/'WBS Schedule'!$G$27))*'WBS Schedule'!$P$27</f>
        <v>1.92</v>
      </c>
    </row>
    <row r="88" customFormat="false" ht="15" hidden="false" customHeight="false" outlineLevel="0" collapsed="false">
      <c r="A88" s="0" t="str">
        <f aca="false">'WBS Schedule'!A28</f>
        <v>2.8</v>
      </c>
      <c r="B88" s="123" t="n">
        <f aca="false">IF($C$5&lt;'WBS Schedule'!$H$28,0,MIN(1,NETWORKDAYS('WBS Schedule'!$H$28,$C$5,Holidays)/'WBS Schedule'!$G$28))*'WBS Schedule'!$P$28</f>
        <v>0</v>
      </c>
      <c r="C88" s="123" t="n">
        <f aca="false">IF($C$6&lt;'WBS Schedule'!$H$28,0,MIN(1,NETWORKDAYS('WBS Schedule'!$H$28,$C$6,Holidays)/'WBS Schedule'!$G$28))*'WBS Schedule'!$P$28</f>
        <v>0</v>
      </c>
      <c r="D88" s="123" t="n">
        <f aca="false">IF($C$7&lt;'WBS Schedule'!$H$28,0,MIN(1,NETWORKDAYS('WBS Schedule'!$H$28,$C$7,Holidays)/'WBS Schedule'!$G$28))*'WBS Schedule'!$P$28</f>
        <v>0</v>
      </c>
      <c r="E88" s="123" t="n">
        <f aca="false">IF($C$8&lt;'WBS Schedule'!$H$28,0,MIN(1,NETWORKDAYS('WBS Schedule'!$H$28,$C$8,Holidays)/'WBS Schedule'!$G$28))*'WBS Schedule'!$P$28</f>
        <v>0</v>
      </c>
      <c r="F88" s="123" t="n">
        <f aca="false">IF($C$9&lt;'WBS Schedule'!$H$28,0,MIN(1,NETWORKDAYS('WBS Schedule'!$H$28,$C$9,Holidays)/'WBS Schedule'!$G$28))*'WBS Schedule'!$P$28</f>
        <v>0</v>
      </c>
      <c r="G88" s="123" t="n">
        <f aca="false">IF($C$10&lt;'WBS Schedule'!$H$28,0,MIN(1,NETWORKDAYS('WBS Schedule'!$H$28,$C$10,Holidays)/'WBS Schedule'!$G$28))*'WBS Schedule'!$P$28</f>
        <v>0</v>
      </c>
      <c r="H88" s="123" t="n">
        <f aca="false">IF($C$11&lt;'WBS Schedule'!$H$28,0,MIN(1,NETWORKDAYS('WBS Schedule'!$H$28,$C$11,Holidays)/'WBS Schedule'!$G$28))*'WBS Schedule'!$P$28</f>
        <v>0</v>
      </c>
      <c r="I88" s="123" t="n">
        <f aca="false">IF($C$12&lt;'WBS Schedule'!$H$28,0,MIN(1,NETWORKDAYS('WBS Schedule'!$H$28,$C$12,Holidays)/'WBS Schedule'!$G$28))*'WBS Schedule'!$P$28</f>
        <v>1.92</v>
      </c>
      <c r="J88" s="123" t="n">
        <f aca="false">IF($C$13&lt;'WBS Schedule'!$H$28,0,MIN(1,NETWORKDAYS('WBS Schedule'!$H$28,$C$13,Holidays)/'WBS Schedule'!$G$28))*'WBS Schedule'!$P$28</f>
        <v>1.92</v>
      </c>
      <c r="K88" s="123" t="n">
        <f aca="false">IF($C$14&lt;'WBS Schedule'!$H$28,0,MIN(1,NETWORKDAYS('WBS Schedule'!$H$28,$C$14,Holidays)/'WBS Schedule'!$G$28))*'WBS Schedule'!$P$28</f>
        <v>1.92</v>
      </c>
      <c r="L88" s="123" t="n">
        <f aca="false">IF($C$15&lt;'WBS Schedule'!$H$28,0,MIN(1,NETWORKDAYS('WBS Schedule'!$H$28,$C$15,Holidays)/'WBS Schedule'!$G$28))*'WBS Schedule'!$P$28</f>
        <v>1.92</v>
      </c>
      <c r="M88" s="123" t="n">
        <f aca="false">IF($C$16&lt;'WBS Schedule'!$H$28,0,MIN(1,NETWORKDAYS('WBS Schedule'!$H$28,$C$16,Holidays)/'WBS Schedule'!$G$28))*'WBS Schedule'!$P$28</f>
        <v>1.92</v>
      </c>
      <c r="N88" s="123" t="n">
        <f aca="false">IF($C$17&lt;'WBS Schedule'!$H$28,0,MIN(1,NETWORKDAYS('WBS Schedule'!$H$28,$C$17,Holidays)/'WBS Schedule'!$G$28))*'WBS Schedule'!$P$28</f>
        <v>1.92</v>
      </c>
      <c r="O88" s="123" t="n">
        <f aca="false">IF($C$18&lt;'WBS Schedule'!$H$28,0,MIN(1,NETWORKDAYS('WBS Schedule'!$H$28,$C$18,Holidays)/'WBS Schedule'!$G$28))*'WBS Schedule'!$P$28</f>
        <v>1.92</v>
      </c>
      <c r="P88" s="123" t="n">
        <f aca="false">IF($C$19&lt;'WBS Schedule'!$H$28,0,MIN(1,NETWORKDAYS('WBS Schedule'!$H$28,$C$19,Holidays)/'WBS Schedule'!$G$28))*'WBS Schedule'!$P$28</f>
        <v>1.92</v>
      </c>
      <c r="Q88" s="123" t="n">
        <f aca="false">IF($C$20&lt;'WBS Schedule'!$H$28,0,MIN(1,NETWORKDAYS('WBS Schedule'!$H$28,$C$20,Holidays)/'WBS Schedule'!$G$28))*'WBS Schedule'!$P$28</f>
        <v>1.92</v>
      </c>
      <c r="R88" s="123" t="n">
        <f aca="false">IF($C$21&lt;'WBS Schedule'!$H$28,0,MIN(1,NETWORKDAYS('WBS Schedule'!$H$28,$C$21,Holidays)/'WBS Schedule'!$G$28))*'WBS Schedule'!$P$28</f>
        <v>1.92</v>
      </c>
      <c r="S88" s="123" t="n">
        <f aca="false">IF($C$22&lt;'WBS Schedule'!$H$28,0,MIN(1,NETWORKDAYS('WBS Schedule'!$H$28,$C$22,Holidays)/'WBS Schedule'!$G$28))*'WBS Schedule'!$P$28</f>
        <v>1.92</v>
      </c>
      <c r="T88" s="123" t="n">
        <f aca="false">IF($C$23&lt;'WBS Schedule'!$H$28,0,MIN(1,NETWORKDAYS('WBS Schedule'!$H$28,$C$23,Holidays)/'WBS Schedule'!$G$28))*'WBS Schedule'!$P$28</f>
        <v>1.92</v>
      </c>
      <c r="U88" s="123" t="n">
        <f aca="false">IF($C$24&lt;'WBS Schedule'!$H$28,0,MIN(1,NETWORKDAYS('WBS Schedule'!$H$28,$C$24,Holidays)/'WBS Schedule'!$G$28))*'WBS Schedule'!$P$28</f>
        <v>1.92</v>
      </c>
      <c r="V88" s="123" t="n">
        <f aca="false">IF($C$25&lt;'WBS Schedule'!$H$28,0,MIN(1,NETWORKDAYS('WBS Schedule'!$H$28,$C$25,Holidays)/'WBS Schedule'!$G$28))*'WBS Schedule'!$P$28</f>
        <v>1.92</v>
      </c>
    </row>
    <row r="89" customFormat="false" ht="15" hidden="false" customHeight="false" outlineLevel="0" collapsed="false">
      <c r="A89" s="0" t="str">
        <f aca="false">'WBS Schedule'!A29</f>
        <v>2.9</v>
      </c>
      <c r="B89" s="123" t="n">
        <f aca="false">IF($C$5&lt;'WBS Schedule'!$H$29,0,MIN(1,NETWORKDAYS('WBS Schedule'!$H$29,$C$5,Holidays)/'WBS Schedule'!$G$29))*'WBS Schedule'!$P$29</f>
        <v>0</v>
      </c>
      <c r="C89" s="123" t="n">
        <f aca="false">IF($C$6&lt;'WBS Schedule'!$H$29,0,MIN(1,NETWORKDAYS('WBS Schedule'!$H$29,$C$6,Holidays)/'WBS Schedule'!$G$29))*'WBS Schedule'!$P$29</f>
        <v>0</v>
      </c>
      <c r="D89" s="123" t="n">
        <f aca="false">IF($C$7&lt;'WBS Schedule'!$H$29,0,MIN(1,NETWORKDAYS('WBS Schedule'!$H$29,$C$7,Holidays)/'WBS Schedule'!$G$29))*'WBS Schedule'!$P$29</f>
        <v>0</v>
      </c>
      <c r="E89" s="123" t="n">
        <f aca="false">IF($C$8&lt;'WBS Schedule'!$H$29,0,MIN(1,NETWORKDAYS('WBS Schedule'!$H$29,$C$8,Holidays)/'WBS Schedule'!$G$29))*'WBS Schedule'!$P$29</f>
        <v>0</v>
      </c>
      <c r="F89" s="123" t="n">
        <f aca="false">IF($C$9&lt;'WBS Schedule'!$H$29,0,MIN(1,NETWORKDAYS('WBS Schedule'!$H$29,$C$9,Holidays)/'WBS Schedule'!$G$29))*'WBS Schedule'!$P$29</f>
        <v>0</v>
      </c>
      <c r="G89" s="123" t="n">
        <f aca="false">IF($C$10&lt;'WBS Schedule'!$H$29,0,MIN(1,NETWORKDAYS('WBS Schedule'!$H$29,$C$10,Holidays)/'WBS Schedule'!$G$29))*'WBS Schedule'!$P$29</f>
        <v>1.28</v>
      </c>
      <c r="H89" s="123" t="n">
        <f aca="false">IF($C$11&lt;'WBS Schedule'!$H$29,0,MIN(1,NETWORKDAYS('WBS Schedule'!$H$29,$C$11,Holidays)/'WBS Schedule'!$G$29))*'WBS Schedule'!$P$29</f>
        <v>2.56</v>
      </c>
      <c r="I89" s="123" t="n">
        <f aca="false">IF($C$12&lt;'WBS Schedule'!$H$29,0,MIN(1,NETWORKDAYS('WBS Schedule'!$H$29,$C$12,Holidays)/'WBS Schedule'!$G$29))*'WBS Schedule'!$P$29</f>
        <v>2.56</v>
      </c>
      <c r="J89" s="123" t="n">
        <f aca="false">IF($C$13&lt;'WBS Schedule'!$H$29,0,MIN(1,NETWORKDAYS('WBS Schedule'!$H$29,$C$13,Holidays)/'WBS Schedule'!$G$29))*'WBS Schedule'!$P$29</f>
        <v>2.56</v>
      </c>
      <c r="K89" s="123" t="n">
        <f aca="false">IF($C$14&lt;'WBS Schedule'!$H$29,0,MIN(1,NETWORKDAYS('WBS Schedule'!$H$29,$C$14,Holidays)/'WBS Schedule'!$G$29))*'WBS Schedule'!$P$29</f>
        <v>2.56</v>
      </c>
      <c r="L89" s="123" t="n">
        <f aca="false">IF($C$15&lt;'WBS Schedule'!$H$29,0,MIN(1,NETWORKDAYS('WBS Schedule'!$H$29,$C$15,Holidays)/'WBS Schedule'!$G$29))*'WBS Schedule'!$P$29</f>
        <v>2.56</v>
      </c>
      <c r="M89" s="123" t="n">
        <f aca="false">IF($C$16&lt;'WBS Schedule'!$H$29,0,MIN(1,NETWORKDAYS('WBS Schedule'!$H$29,$C$16,Holidays)/'WBS Schedule'!$G$29))*'WBS Schedule'!$P$29</f>
        <v>2.56</v>
      </c>
      <c r="N89" s="123" t="n">
        <f aca="false">IF($C$17&lt;'WBS Schedule'!$H$29,0,MIN(1,NETWORKDAYS('WBS Schedule'!$H$29,$C$17,Holidays)/'WBS Schedule'!$G$29))*'WBS Schedule'!$P$29</f>
        <v>2.56</v>
      </c>
      <c r="O89" s="123" t="n">
        <f aca="false">IF($C$18&lt;'WBS Schedule'!$H$29,0,MIN(1,NETWORKDAYS('WBS Schedule'!$H$29,$C$18,Holidays)/'WBS Schedule'!$G$29))*'WBS Schedule'!$P$29</f>
        <v>2.56</v>
      </c>
      <c r="P89" s="123" t="n">
        <f aca="false">IF($C$19&lt;'WBS Schedule'!$H$29,0,MIN(1,NETWORKDAYS('WBS Schedule'!$H$29,$C$19,Holidays)/'WBS Schedule'!$G$29))*'WBS Schedule'!$P$29</f>
        <v>2.56</v>
      </c>
      <c r="Q89" s="123" t="n">
        <f aca="false">IF($C$20&lt;'WBS Schedule'!$H$29,0,MIN(1,NETWORKDAYS('WBS Schedule'!$H$29,$C$20,Holidays)/'WBS Schedule'!$G$29))*'WBS Schedule'!$P$29</f>
        <v>2.56</v>
      </c>
      <c r="R89" s="123" t="n">
        <f aca="false">IF($C$21&lt;'WBS Schedule'!$H$29,0,MIN(1,NETWORKDAYS('WBS Schedule'!$H$29,$C$21,Holidays)/'WBS Schedule'!$G$29))*'WBS Schedule'!$P$29</f>
        <v>2.56</v>
      </c>
      <c r="S89" s="123" t="n">
        <f aca="false">IF($C$22&lt;'WBS Schedule'!$H$29,0,MIN(1,NETWORKDAYS('WBS Schedule'!$H$29,$C$22,Holidays)/'WBS Schedule'!$G$29))*'WBS Schedule'!$P$29</f>
        <v>2.56</v>
      </c>
      <c r="T89" s="123" t="n">
        <f aca="false">IF($C$23&lt;'WBS Schedule'!$H$29,0,MIN(1,NETWORKDAYS('WBS Schedule'!$H$29,$C$23,Holidays)/'WBS Schedule'!$G$29))*'WBS Schedule'!$P$29</f>
        <v>2.56</v>
      </c>
      <c r="U89" s="123" t="n">
        <f aca="false">IF($C$24&lt;'WBS Schedule'!$H$29,0,MIN(1,NETWORKDAYS('WBS Schedule'!$H$29,$C$24,Holidays)/'WBS Schedule'!$G$29))*'WBS Schedule'!$P$29</f>
        <v>2.56</v>
      </c>
      <c r="V89" s="123" t="n">
        <f aca="false">IF($C$25&lt;'WBS Schedule'!$H$29,0,MIN(1,NETWORKDAYS('WBS Schedule'!$H$29,$C$25,Holidays)/'WBS Schedule'!$G$29))*'WBS Schedule'!$P$29</f>
        <v>2.56</v>
      </c>
    </row>
    <row r="90" customFormat="false" ht="15" hidden="false" customHeight="false" outlineLevel="0" collapsed="false">
      <c r="A90" s="0" t="str">
        <f aca="false">'WBS Schedule'!A30</f>
        <v>2.10</v>
      </c>
      <c r="B90" s="123" t="n">
        <f aca="false">IF($C$5&lt;'WBS Schedule'!$H$30,0,MIN(1,NETWORKDAYS('WBS Schedule'!$H$30,$C$5,Holidays)/'WBS Schedule'!$G$30))*'WBS Schedule'!$P$30</f>
        <v>0</v>
      </c>
      <c r="C90" s="123" t="n">
        <f aca="false">IF($C$6&lt;'WBS Schedule'!$H$30,0,MIN(1,NETWORKDAYS('WBS Schedule'!$H$30,$C$6,Holidays)/'WBS Schedule'!$G$30))*'WBS Schedule'!$P$30</f>
        <v>0</v>
      </c>
      <c r="D90" s="123" t="n">
        <f aca="false">IF($C$7&lt;'WBS Schedule'!$H$30,0,MIN(1,NETWORKDAYS('WBS Schedule'!$H$30,$C$7,Holidays)/'WBS Schedule'!$G$30))*'WBS Schedule'!$P$30</f>
        <v>0</v>
      </c>
      <c r="E90" s="123" t="n">
        <f aca="false">IF($C$8&lt;'WBS Schedule'!$H$30,0,MIN(1,NETWORKDAYS('WBS Schedule'!$H$30,$C$8,Holidays)/'WBS Schedule'!$G$30))*'WBS Schedule'!$P$30</f>
        <v>0</v>
      </c>
      <c r="F90" s="123" t="n">
        <f aca="false">IF($C$9&lt;'WBS Schedule'!$H$30,0,MIN(1,NETWORKDAYS('WBS Schedule'!$H$30,$C$9,Holidays)/'WBS Schedule'!$G$30))*'WBS Schedule'!$P$30</f>
        <v>0</v>
      </c>
      <c r="G90" s="123" t="n">
        <f aca="false">IF($C$10&lt;'WBS Schedule'!$H$30,0,MIN(1,NETWORKDAYS('WBS Schedule'!$H$30,$C$10,Holidays)/'WBS Schedule'!$G$30))*'WBS Schedule'!$P$30</f>
        <v>0</v>
      </c>
      <c r="H90" s="123" t="n">
        <f aca="false">IF($C$11&lt;'WBS Schedule'!$H$30,0,MIN(1,NETWORKDAYS('WBS Schedule'!$H$30,$C$11,Holidays)/'WBS Schedule'!$G$30))*'WBS Schedule'!$P$30</f>
        <v>0</v>
      </c>
      <c r="I90" s="123" t="n">
        <f aca="false">IF($C$12&lt;'WBS Schedule'!$H$30,0,MIN(1,NETWORKDAYS('WBS Schedule'!$H$30,$C$12,Holidays)/'WBS Schedule'!$G$30))*'WBS Schedule'!$P$30</f>
        <v>1.28</v>
      </c>
      <c r="J90" s="123" t="n">
        <f aca="false">IF($C$13&lt;'WBS Schedule'!$H$30,0,MIN(1,NETWORKDAYS('WBS Schedule'!$H$30,$C$13,Holidays)/'WBS Schedule'!$G$30))*'WBS Schedule'!$P$30</f>
        <v>1.92</v>
      </c>
      <c r="K90" s="123" t="n">
        <f aca="false">IF($C$14&lt;'WBS Schedule'!$H$30,0,MIN(1,NETWORKDAYS('WBS Schedule'!$H$30,$C$14,Holidays)/'WBS Schedule'!$G$30))*'WBS Schedule'!$P$30</f>
        <v>1.92</v>
      </c>
      <c r="L90" s="123" t="n">
        <f aca="false">IF($C$15&lt;'WBS Schedule'!$H$30,0,MIN(1,NETWORKDAYS('WBS Schedule'!$H$30,$C$15,Holidays)/'WBS Schedule'!$G$30))*'WBS Schedule'!$P$30</f>
        <v>1.92</v>
      </c>
      <c r="M90" s="123" t="n">
        <f aca="false">IF($C$16&lt;'WBS Schedule'!$H$30,0,MIN(1,NETWORKDAYS('WBS Schedule'!$H$30,$C$16,Holidays)/'WBS Schedule'!$G$30))*'WBS Schedule'!$P$30</f>
        <v>1.92</v>
      </c>
      <c r="N90" s="123" t="n">
        <f aca="false">IF($C$17&lt;'WBS Schedule'!$H$30,0,MIN(1,NETWORKDAYS('WBS Schedule'!$H$30,$C$17,Holidays)/'WBS Schedule'!$G$30))*'WBS Schedule'!$P$30</f>
        <v>1.92</v>
      </c>
      <c r="O90" s="123" t="n">
        <f aca="false">IF($C$18&lt;'WBS Schedule'!$H$30,0,MIN(1,NETWORKDAYS('WBS Schedule'!$H$30,$C$18,Holidays)/'WBS Schedule'!$G$30))*'WBS Schedule'!$P$30</f>
        <v>1.92</v>
      </c>
      <c r="P90" s="123" t="n">
        <f aca="false">IF($C$19&lt;'WBS Schedule'!$H$30,0,MIN(1,NETWORKDAYS('WBS Schedule'!$H$30,$C$19,Holidays)/'WBS Schedule'!$G$30))*'WBS Schedule'!$P$30</f>
        <v>1.92</v>
      </c>
      <c r="Q90" s="123" t="n">
        <f aca="false">IF($C$20&lt;'WBS Schedule'!$H$30,0,MIN(1,NETWORKDAYS('WBS Schedule'!$H$30,$C$20,Holidays)/'WBS Schedule'!$G$30))*'WBS Schedule'!$P$30</f>
        <v>1.92</v>
      </c>
      <c r="R90" s="123" t="n">
        <f aca="false">IF($C$21&lt;'WBS Schedule'!$H$30,0,MIN(1,NETWORKDAYS('WBS Schedule'!$H$30,$C$21,Holidays)/'WBS Schedule'!$G$30))*'WBS Schedule'!$P$30</f>
        <v>1.92</v>
      </c>
      <c r="S90" s="123" t="n">
        <f aca="false">IF($C$22&lt;'WBS Schedule'!$H$30,0,MIN(1,NETWORKDAYS('WBS Schedule'!$H$30,$C$22,Holidays)/'WBS Schedule'!$G$30))*'WBS Schedule'!$P$30</f>
        <v>1.92</v>
      </c>
      <c r="T90" s="123" t="n">
        <f aca="false">IF($C$23&lt;'WBS Schedule'!$H$30,0,MIN(1,NETWORKDAYS('WBS Schedule'!$H$30,$C$23,Holidays)/'WBS Schedule'!$G$30))*'WBS Schedule'!$P$30</f>
        <v>1.92</v>
      </c>
      <c r="U90" s="123" t="n">
        <f aca="false">IF($C$24&lt;'WBS Schedule'!$H$30,0,MIN(1,NETWORKDAYS('WBS Schedule'!$H$30,$C$24,Holidays)/'WBS Schedule'!$G$30))*'WBS Schedule'!$P$30</f>
        <v>1.92</v>
      </c>
      <c r="V90" s="123" t="n">
        <f aca="false">IF($C$25&lt;'WBS Schedule'!$H$30,0,MIN(1,NETWORKDAYS('WBS Schedule'!$H$30,$C$25,Holidays)/'WBS Schedule'!$G$30))*'WBS Schedule'!$P$30</f>
        <v>1.92</v>
      </c>
    </row>
    <row r="91" customFormat="false" ht="15" hidden="false" customHeight="false" outlineLevel="0" collapsed="false">
      <c r="A91" s="0" t="str">
        <f aca="false">'WBS Schedule'!A33</f>
        <v>3.1</v>
      </c>
      <c r="B91" s="123" t="n">
        <f aca="false">IF($C$5&lt;'WBS Schedule'!$H$33,0,MIN(1,NETWORKDAYS('WBS Schedule'!$H$33,$C$5,Holidays)/'WBS Schedule'!$G$33))*'WBS Schedule'!$P$33</f>
        <v>0</v>
      </c>
      <c r="C91" s="123" t="n">
        <f aca="false">IF($C$6&lt;'WBS Schedule'!$H$33,0,MIN(1,NETWORKDAYS('WBS Schedule'!$H$33,$C$6,Holidays)/'WBS Schedule'!$G$33))*'WBS Schedule'!$P$33</f>
        <v>0</v>
      </c>
      <c r="D91" s="123" t="n">
        <f aca="false">IF($C$7&lt;'WBS Schedule'!$H$33,0,MIN(1,NETWORKDAYS('WBS Schedule'!$H$33,$C$7,Holidays)/'WBS Schedule'!$G$33))*'WBS Schedule'!$P$33</f>
        <v>0</v>
      </c>
      <c r="E91" s="123" t="n">
        <f aca="false">IF($C$8&lt;'WBS Schedule'!$H$33,0,MIN(1,NETWORKDAYS('WBS Schedule'!$H$33,$C$8,Holidays)/'WBS Schedule'!$G$33))*'WBS Schedule'!$P$33</f>
        <v>0</v>
      </c>
      <c r="F91" s="123" t="n">
        <f aca="false">IF($C$9&lt;'WBS Schedule'!$H$33,0,MIN(1,NETWORKDAYS('WBS Schedule'!$H$33,$C$9,Holidays)/'WBS Schedule'!$G$33))*'WBS Schedule'!$P$33</f>
        <v>0</v>
      </c>
      <c r="G91" s="123" t="n">
        <f aca="false">IF($C$10&lt;'WBS Schedule'!$H$33,0,MIN(1,NETWORKDAYS('WBS Schedule'!$H$33,$C$10,Holidays)/'WBS Schedule'!$G$33))*'WBS Schedule'!$P$33</f>
        <v>0</v>
      </c>
      <c r="H91" s="123" t="n">
        <f aca="false">IF($C$11&lt;'WBS Schedule'!$H$33,0,MIN(1,NETWORKDAYS('WBS Schedule'!$H$33,$C$11,Holidays)/'WBS Schedule'!$G$33))*'WBS Schedule'!$P$33</f>
        <v>0</v>
      </c>
      <c r="I91" s="123" t="n">
        <f aca="false">IF($C$12&lt;'WBS Schedule'!$H$33,0,MIN(1,NETWORKDAYS('WBS Schedule'!$H$33,$C$12,Holidays)/'WBS Schedule'!$G$33))*'WBS Schedule'!$P$33</f>
        <v>0</v>
      </c>
      <c r="J91" s="123" t="n">
        <f aca="false">IF($C$13&lt;'WBS Schedule'!$H$33,0,MIN(1,NETWORKDAYS('WBS Schedule'!$H$33,$C$13,Holidays)/'WBS Schedule'!$G$33))*'WBS Schedule'!$P$33</f>
        <v>1.92</v>
      </c>
      <c r="K91" s="123" t="n">
        <f aca="false">IF($C$14&lt;'WBS Schedule'!$H$33,0,MIN(1,NETWORKDAYS('WBS Schedule'!$H$33,$C$14,Holidays)/'WBS Schedule'!$G$33))*'WBS Schedule'!$P$33</f>
        <v>1.92</v>
      </c>
      <c r="L91" s="123" t="n">
        <f aca="false">IF($C$15&lt;'WBS Schedule'!$H$33,0,MIN(1,NETWORKDAYS('WBS Schedule'!$H$33,$C$15,Holidays)/'WBS Schedule'!$G$33))*'WBS Schedule'!$P$33</f>
        <v>1.92</v>
      </c>
      <c r="M91" s="123" t="n">
        <f aca="false">IF($C$16&lt;'WBS Schedule'!$H$33,0,MIN(1,NETWORKDAYS('WBS Schedule'!$H$33,$C$16,Holidays)/'WBS Schedule'!$G$33))*'WBS Schedule'!$P$33</f>
        <v>1.92</v>
      </c>
      <c r="N91" s="123" t="n">
        <f aca="false">IF($C$17&lt;'WBS Schedule'!$H$33,0,MIN(1,NETWORKDAYS('WBS Schedule'!$H$33,$C$17,Holidays)/'WBS Schedule'!$G$33))*'WBS Schedule'!$P$33</f>
        <v>1.92</v>
      </c>
      <c r="O91" s="123" t="n">
        <f aca="false">IF($C$18&lt;'WBS Schedule'!$H$33,0,MIN(1,NETWORKDAYS('WBS Schedule'!$H$33,$C$18,Holidays)/'WBS Schedule'!$G$33))*'WBS Schedule'!$P$33</f>
        <v>1.92</v>
      </c>
      <c r="P91" s="123" t="n">
        <f aca="false">IF($C$19&lt;'WBS Schedule'!$H$33,0,MIN(1,NETWORKDAYS('WBS Schedule'!$H$33,$C$19,Holidays)/'WBS Schedule'!$G$33))*'WBS Schedule'!$P$33</f>
        <v>1.92</v>
      </c>
      <c r="Q91" s="123" t="n">
        <f aca="false">IF($C$20&lt;'WBS Schedule'!$H$33,0,MIN(1,NETWORKDAYS('WBS Schedule'!$H$33,$C$20,Holidays)/'WBS Schedule'!$G$33))*'WBS Schedule'!$P$33</f>
        <v>1.92</v>
      </c>
      <c r="R91" s="123" t="n">
        <f aca="false">IF($C$21&lt;'WBS Schedule'!$H$33,0,MIN(1,NETWORKDAYS('WBS Schedule'!$H$33,$C$21,Holidays)/'WBS Schedule'!$G$33))*'WBS Schedule'!$P$33</f>
        <v>1.92</v>
      </c>
      <c r="S91" s="123" t="n">
        <f aca="false">IF($C$22&lt;'WBS Schedule'!$H$33,0,MIN(1,NETWORKDAYS('WBS Schedule'!$H$33,$C$22,Holidays)/'WBS Schedule'!$G$33))*'WBS Schedule'!$P$33</f>
        <v>1.92</v>
      </c>
      <c r="T91" s="123" t="n">
        <f aca="false">IF($C$23&lt;'WBS Schedule'!$H$33,0,MIN(1,NETWORKDAYS('WBS Schedule'!$H$33,$C$23,Holidays)/'WBS Schedule'!$G$33))*'WBS Schedule'!$P$33</f>
        <v>1.92</v>
      </c>
      <c r="U91" s="123" t="n">
        <f aca="false">IF($C$24&lt;'WBS Schedule'!$H$33,0,MIN(1,NETWORKDAYS('WBS Schedule'!$H$33,$C$24,Holidays)/'WBS Schedule'!$G$33))*'WBS Schedule'!$P$33</f>
        <v>1.92</v>
      </c>
      <c r="V91" s="123" t="n">
        <f aca="false">IF($C$25&lt;'WBS Schedule'!$H$33,0,MIN(1,NETWORKDAYS('WBS Schedule'!$H$33,$C$25,Holidays)/'WBS Schedule'!$G$33))*'WBS Schedule'!$P$33</f>
        <v>1.92</v>
      </c>
    </row>
    <row r="92" customFormat="false" ht="15" hidden="false" customHeight="false" outlineLevel="0" collapsed="false">
      <c r="A92" s="0" t="str">
        <f aca="false">'WBS Schedule'!A34</f>
        <v>3.2</v>
      </c>
      <c r="B92" s="123" t="n">
        <f aca="false">IF($C$5&lt;'WBS Schedule'!$H$34,0,MIN(1,NETWORKDAYS('WBS Schedule'!$H$34,$C$5,Holidays)/'WBS Schedule'!$G$34))*'WBS Schedule'!$P$34</f>
        <v>0</v>
      </c>
      <c r="C92" s="123" t="n">
        <f aca="false">IF($C$6&lt;'WBS Schedule'!$H$34,0,MIN(1,NETWORKDAYS('WBS Schedule'!$H$34,$C$6,Holidays)/'WBS Schedule'!$G$34))*'WBS Schedule'!$P$34</f>
        <v>0</v>
      </c>
      <c r="D92" s="123" t="n">
        <f aca="false">IF($C$7&lt;'WBS Schedule'!$H$34,0,MIN(1,NETWORKDAYS('WBS Schedule'!$H$34,$C$7,Holidays)/'WBS Schedule'!$G$34))*'WBS Schedule'!$P$34</f>
        <v>0</v>
      </c>
      <c r="E92" s="123" t="n">
        <f aca="false">IF($C$8&lt;'WBS Schedule'!$H$34,0,MIN(1,NETWORKDAYS('WBS Schedule'!$H$34,$C$8,Holidays)/'WBS Schedule'!$G$34))*'WBS Schedule'!$P$34</f>
        <v>0</v>
      </c>
      <c r="F92" s="123" t="n">
        <f aca="false">IF($C$9&lt;'WBS Schedule'!$H$34,0,MIN(1,NETWORKDAYS('WBS Schedule'!$H$34,$C$9,Holidays)/'WBS Schedule'!$G$34))*'WBS Schedule'!$P$34</f>
        <v>0</v>
      </c>
      <c r="G92" s="123" t="n">
        <f aca="false">IF($C$10&lt;'WBS Schedule'!$H$34,0,MIN(1,NETWORKDAYS('WBS Schedule'!$H$34,$C$10,Holidays)/'WBS Schedule'!$G$34))*'WBS Schedule'!$P$34</f>
        <v>0</v>
      </c>
      <c r="H92" s="123" t="n">
        <f aca="false">IF($C$11&lt;'WBS Schedule'!$H$34,0,MIN(1,NETWORKDAYS('WBS Schedule'!$H$34,$C$11,Holidays)/'WBS Schedule'!$G$34))*'WBS Schedule'!$P$34</f>
        <v>0</v>
      </c>
      <c r="I92" s="123" t="n">
        <f aca="false">IF($C$12&lt;'WBS Schedule'!$H$34,0,MIN(1,NETWORKDAYS('WBS Schedule'!$H$34,$C$12,Holidays)/'WBS Schedule'!$G$34))*'WBS Schedule'!$P$34</f>
        <v>0</v>
      </c>
      <c r="J92" s="123" t="n">
        <f aca="false">IF($C$13&lt;'WBS Schedule'!$H$34,0,MIN(1,NETWORKDAYS('WBS Schedule'!$H$34,$C$13,Holidays)/'WBS Schedule'!$G$34))*'WBS Schedule'!$P$34</f>
        <v>0</v>
      </c>
      <c r="K92" s="123" t="n">
        <f aca="false">IF($C$14&lt;'WBS Schedule'!$H$34,0,MIN(1,NETWORKDAYS('WBS Schedule'!$H$34,$C$14,Holidays)/'WBS Schedule'!$G$34))*'WBS Schedule'!$P$34</f>
        <v>2.56</v>
      </c>
      <c r="L92" s="123" t="n">
        <f aca="false">IF($C$15&lt;'WBS Schedule'!$H$34,0,MIN(1,NETWORKDAYS('WBS Schedule'!$H$34,$C$15,Holidays)/'WBS Schedule'!$G$34))*'WBS Schedule'!$P$34</f>
        <v>2.56</v>
      </c>
      <c r="M92" s="123" t="n">
        <f aca="false">IF($C$16&lt;'WBS Schedule'!$H$34,0,MIN(1,NETWORKDAYS('WBS Schedule'!$H$34,$C$16,Holidays)/'WBS Schedule'!$G$34))*'WBS Schedule'!$P$34</f>
        <v>2.56</v>
      </c>
      <c r="N92" s="123" t="n">
        <f aca="false">IF($C$17&lt;'WBS Schedule'!$H$34,0,MIN(1,NETWORKDAYS('WBS Schedule'!$H$34,$C$17,Holidays)/'WBS Schedule'!$G$34))*'WBS Schedule'!$P$34</f>
        <v>2.56</v>
      </c>
      <c r="O92" s="123" t="n">
        <f aca="false">IF($C$18&lt;'WBS Schedule'!$H$34,0,MIN(1,NETWORKDAYS('WBS Schedule'!$H$34,$C$18,Holidays)/'WBS Schedule'!$G$34))*'WBS Schedule'!$P$34</f>
        <v>2.56</v>
      </c>
      <c r="P92" s="123" t="n">
        <f aca="false">IF($C$19&lt;'WBS Schedule'!$H$34,0,MIN(1,NETWORKDAYS('WBS Schedule'!$H$34,$C$19,Holidays)/'WBS Schedule'!$G$34))*'WBS Schedule'!$P$34</f>
        <v>2.56</v>
      </c>
      <c r="Q92" s="123" t="n">
        <f aca="false">IF($C$20&lt;'WBS Schedule'!$H$34,0,MIN(1,NETWORKDAYS('WBS Schedule'!$H$34,$C$20,Holidays)/'WBS Schedule'!$G$34))*'WBS Schedule'!$P$34</f>
        <v>2.56</v>
      </c>
      <c r="R92" s="123" t="n">
        <f aca="false">IF($C$21&lt;'WBS Schedule'!$H$34,0,MIN(1,NETWORKDAYS('WBS Schedule'!$H$34,$C$21,Holidays)/'WBS Schedule'!$G$34))*'WBS Schedule'!$P$34</f>
        <v>2.56</v>
      </c>
      <c r="S92" s="123" t="n">
        <f aca="false">IF($C$22&lt;'WBS Schedule'!$H$34,0,MIN(1,NETWORKDAYS('WBS Schedule'!$H$34,$C$22,Holidays)/'WBS Schedule'!$G$34))*'WBS Schedule'!$P$34</f>
        <v>2.56</v>
      </c>
      <c r="T92" s="123" t="n">
        <f aca="false">IF($C$23&lt;'WBS Schedule'!$H$34,0,MIN(1,NETWORKDAYS('WBS Schedule'!$H$34,$C$23,Holidays)/'WBS Schedule'!$G$34))*'WBS Schedule'!$P$34</f>
        <v>2.56</v>
      </c>
      <c r="U92" s="123" t="n">
        <f aca="false">IF($C$24&lt;'WBS Schedule'!$H$34,0,MIN(1,NETWORKDAYS('WBS Schedule'!$H$34,$C$24,Holidays)/'WBS Schedule'!$G$34))*'WBS Schedule'!$P$34</f>
        <v>2.56</v>
      </c>
      <c r="V92" s="123" t="n">
        <f aca="false">IF($C$25&lt;'WBS Schedule'!$H$34,0,MIN(1,NETWORKDAYS('WBS Schedule'!$H$34,$C$25,Holidays)/'WBS Schedule'!$G$34))*'WBS Schedule'!$P$34</f>
        <v>2.56</v>
      </c>
    </row>
    <row r="93" customFormat="false" ht="15" hidden="false" customHeight="false" outlineLevel="0" collapsed="false">
      <c r="A93" s="0" t="str">
        <f aca="false">'WBS Schedule'!A35</f>
        <v>3.3</v>
      </c>
      <c r="B93" s="123" t="n">
        <f aca="false">IF($C$5&lt;'WBS Schedule'!$H$35,0,MIN(1,NETWORKDAYS('WBS Schedule'!$H$35,$C$5,Holidays)/'WBS Schedule'!$G$35))*'WBS Schedule'!$P$35</f>
        <v>0</v>
      </c>
      <c r="C93" s="123" t="n">
        <f aca="false">IF($C$6&lt;'WBS Schedule'!$H$35,0,MIN(1,NETWORKDAYS('WBS Schedule'!$H$35,$C$6,Holidays)/'WBS Schedule'!$G$35))*'WBS Schedule'!$P$35</f>
        <v>0</v>
      </c>
      <c r="D93" s="123" t="n">
        <f aca="false">IF($C$7&lt;'WBS Schedule'!$H$35,0,MIN(1,NETWORKDAYS('WBS Schedule'!$H$35,$C$7,Holidays)/'WBS Schedule'!$G$35))*'WBS Schedule'!$P$35</f>
        <v>0</v>
      </c>
      <c r="E93" s="123" t="n">
        <f aca="false">IF($C$8&lt;'WBS Schedule'!$H$35,0,MIN(1,NETWORKDAYS('WBS Schedule'!$H$35,$C$8,Holidays)/'WBS Schedule'!$G$35))*'WBS Schedule'!$P$35</f>
        <v>0</v>
      </c>
      <c r="F93" s="123" t="n">
        <f aca="false">IF($C$9&lt;'WBS Schedule'!$H$35,0,MIN(1,NETWORKDAYS('WBS Schedule'!$H$35,$C$9,Holidays)/'WBS Schedule'!$G$35))*'WBS Schedule'!$P$35</f>
        <v>0</v>
      </c>
      <c r="G93" s="123" t="n">
        <f aca="false">IF($C$10&lt;'WBS Schedule'!$H$35,0,MIN(1,NETWORKDAYS('WBS Schedule'!$H$35,$C$10,Holidays)/'WBS Schedule'!$G$35))*'WBS Schedule'!$P$35</f>
        <v>0</v>
      </c>
      <c r="H93" s="123" t="n">
        <f aca="false">IF($C$11&lt;'WBS Schedule'!$H$35,0,MIN(1,NETWORKDAYS('WBS Schedule'!$H$35,$C$11,Holidays)/'WBS Schedule'!$G$35))*'WBS Schedule'!$P$35</f>
        <v>0</v>
      </c>
      <c r="I93" s="123" t="n">
        <f aca="false">IF($C$12&lt;'WBS Schedule'!$H$35,0,MIN(1,NETWORKDAYS('WBS Schedule'!$H$35,$C$12,Holidays)/'WBS Schedule'!$G$35))*'WBS Schedule'!$P$35</f>
        <v>0</v>
      </c>
      <c r="J93" s="123" t="n">
        <f aca="false">IF($C$13&lt;'WBS Schedule'!$H$35,0,MIN(1,NETWORKDAYS('WBS Schedule'!$H$35,$C$13,Holidays)/'WBS Schedule'!$G$35))*'WBS Schedule'!$P$35</f>
        <v>0</v>
      </c>
      <c r="K93" s="123" t="n">
        <f aca="false">IF($C$14&lt;'WBS Schedule'!$H$35,0,MIN(1,NETWORKDAYS('WBS Schedule'!$H$35,$C$14,Holidays)/'WBS Schedule'!$G$35))*'WBS Schedule'!$P$35</f>
        <v>0</v>
      </c>
      <c r="L93" s="123" t="n">
        <f aca="false">IF($C$15&lt;'WBS Schedule'!$H$35,0,MIN(1,NETWORKDAYS('WBS Schedule'!$H$35,$C$15,Holidays)/'WBS Schedule'!$G$35))*'WBS Schedule'!$P$35</f>
        <v>1.92</v>
      </c>
      <c r="M93" s="123" t="n">
        <f aca="false">IF($C$16&lt;'WBS Schedule'!$H$35,0,MIN(1,NETWORKDAYS('WBS Schedule'!$H$35,$C$16,Holidays)/'WBS Schedule'!$G$35))*'WBS Schedule'!$P$35</f>
        <v>1.92</v>
      </c>
      <c r="N93" s="123" t="n">
        <f aca="false">IF($C$17&lt;'WBS Schedule'!$H$35,0,MIN(1,NETWORKDAYS('WBS Schedule'!$H$35,$C$17,Holidays)/'WBS Schedule'!$G$35))*'WBS Schedule'!$P$35</f>
        <v>1.92</v>
      </c>
      <c r="O93" s="123" t="n">
        <f aca="false">IF($C$18&lt;'WBS Schedule'!$H$35,0,MIN(1,NETWORKDAYS('WBS Schedule'!$H$35,$C$18,Holidays)/'WBS Schedule'!$G$35))*'WBS Schedule'!$P$35</f>
        <v>1.92</v>
      </c>
      <c r="P93" s="123" t="n">
        <f aca="false">IF($C$19&lt;'WBS Schedule'!$H$35,0,MIN(1,NETWORKDAYS('WBS Schedule'!$H$35,$C$19,Holidays)/'WBS Schedule'!$G$35))*'WBS Schedule'!$P$35</f>
        <v>1.92</v>
      </c>
      <c r="Q93" s="123" t="n">
        <f aca="false">IF($C$20&lt;'WBS Schedule'!$H$35,0,MIN(1,NETWORKDAYS('WBS Schedule'!$H$35,$C$20,Holidays)/'WBS Schedule'!$G$35))*'WBS Schedule'!$P$35</f>
        <v>1.92</v>
      </c>
      <c r="R93" s="123" t="n">
        <f aca="false">IF($C$21&lt;'WBS Schedule'!$H$35,0,MIN(1,NETWORKDAYS('WBS Schedule'!$H$35,$C$21,Holidays)/'WBS Schedule'!$G$35))*'WBS Schedule'!$P$35</f>
        <v>1.92</v>
      </c>
      <c r="S93" s="123" t="n">
        <f aca="false">IF($C$22&lt;'WBS Schedule'!$H$35,0,MIN(1,NETWORKDAYS('WBS Schedule'!$H$35,$C$22,Holidays)/'WBS Schedule'!$G$35))*'WBS Schedule'!$P$35</f>
        <v>1.92</v>
      </c>
      <c r="T93" s="123" t="n">
        <f aca="false">IF($C$23&lt;'WBS Schedule'!$H$35,0,MIN(1,NETWORKDAYS('WBS Schedule'!$H$35,$C$23,Holidays)/'WBS Schedule'!$G$35))*'WBS Schedule'!$P$35</f>
        <v>1.92</v>
      </c>
      <c r="U93" s="123" t="n">
        <f aca="false">IF($C$24&lt;'WBS Schedule'!$H$35,0,MIN(1,NETWORKDAYS('WBS Schedule'!$H$35,$C$24,Holidays)/'WBS Schedule'!$G$35))*'WBS Schedule'!$P$35</f>
        <v>1.92</v>
      </c>
      <c r="V93" s="123" t="n">
        <f aca="false">IF($C$25&lt;'WBS Schedule'!$H$35,0,MIN(1,NETWORKDAYS('WBS Schedule'!$H$35,$C$25,Holidays)/'WBS Schedule'!$G$35))*'WBS Schedule'!$P$35</f>
        <v>1.92</v>
      </c>
    </row>
    <row r="94" customFormat="false" ht="15" hidden="false" customHeight="false" outlineLevel="0" collapsed="false">
      <c r="A94" s="0" t="str">
        <f aca="false">'WBS Schedule'!A36</f>
        <v>3.4</v>
      </c>
      <c r="B94" s="123" t="n">
        <f aca="false">IF($C$5&lt;'WBS Schedule'!$H$36,0,MIN(1,NETWORKDAYS('WBS Schedule'!$H$36,$C$5,Holidays)/'WBS Schedule'!$G$36))*'WBS Schedule'!$P$36</f>
        <v>0</v>
      </c>
      <c r="C94" s="123" t="n">
        <f aca="false">IF($C$6&lt;'WBS Schedule'!$H$36,0,MIN(1,NETWORKDAYS('WBS Schedule'!$H$36,$C$6,Holidays)/'WBS Schedule'!$G$36))*'WBS Schedule'!$P$36</f>
        <v>0</v>
      </c>
      <c r="D94" s="123" t="n">
        <f aca="false">IF($C$7&lt;'WBS Schedule'!$H$36,0,MIN(1,NETWORKDAYS('WBS Schedule'!$H$36,$C$7,Holidays)/'WBS Schedule'!$G$36))*'WBS Schedule'!$P$36</f>
        <v>0</v>
      </c>
      <c r="E94" s="123" t="n">
        <f aca="false">IF($C$8&lt;'WBS Schedule'!$H$36,0,MIN(1,NETWORKDAYS('WBS Schedule'!$H$36,$C$8,Holidays)/'WBS Schedule'!$G$36))*'WBS Schedule'!$P$36</f>
        <v>0</v>
      </c>
      <c r="F94" s="123" t="n">
        <f aca="false">IF($C$9&lt;'WBS Schedule'!$H$36,0,MIN(1,NETWORKDAYS('WBS Schedule'!$H$36,$C$9,Holidays)/'WBS Schedule'!$G$36))*'WBS Schedule'!$P$36</f>
        <v>0</v>
      </c>
      <c r="G94" s="123" t="n">
        <f aca="false">IF($C$10&lt;'WBS Schedule'!$H$36,0,MIN(1,NETWORKDAYS('WBS Schedule'!$H$36,$C$10,Holidays)/'WBS Schedule'!$G$36))*'WBS Schedule'!$P$36</f>
        <v>0</v>
      </c>
      <c r="H94" s="123" t="n">
        <f aca="false">IF($C$11&lt;'WBS Schedule'!$H$36,0,MIN(1,NETWORKDAYS('WBS Schedule'!$H$36,$C$11,Holidays)/'WBS Schedule'!$G$36))*'WBS Schedule'!$P$36</f>
        <v>0</v>
      </c>
      <c r="I94" s="123" t="n">
        <f aca="false">IF($C$12&lt;'WBS Schedule'!$H$36,0,MIN(1,NETWORKDAYS('WBS Schedule'!$H$36,$C$12,Holidays)/'WBS Schedule'!$G$36))*'WBS Schedule'!$P$36</f>
        <v>0</v>
      </c>
      <c r="J94" s="123" t="n">
        <f aca="false">IF($C$13&lt;'WBS Schedule'!$H$36,0,MIN(1,NETWORKDAYS('WBS Schedule'!$H$36,$C$13,Holidays)/'WBS Schedule'!$G$36))*'WBS Schedule'!$P$36</f>
        <v>0</v>
      </c>
      <c r="K94" s="123" t="n">
        <f aca="false">IF($C$14&lt;'WBS Schedule'!$H$36,0,MIN(1,NETWORKDAYS('WBS Schedule'!$H$36,$C$14,Holidays)/'WBS Schedule'!$G$36))*'WBS Schedule'!$P$36</f>
        <v>0</v>
      </c>
      <c r="L94" s="123" t="n">
        <f aca="false">IF($C$15&lt;'WBS Schedule'!$H$36,0,MIN(1,NETWORKDAYS('WBS Schedule'!$H$36,$C$15,Holidays)/'WBS Schedule'!$G$36))*'WBS Schedule'!$P$36</f>
        <v>3.84</v>
      </c>
      <c r="M94" s="123" t="n">
        <f aca="false">IF($C$16&lt;'WBS Schedule'!$H$36,0,MIN(1,NETWORKDAYS('WBS Schedule'!$H$36,$C$16,Holidays)/'WBS Schedule'!$G$36))*'WBS Schedule'!$P$36</f>
        <v>3.84</v>
      </c>
      <c r="N94" s="123" t="n">
        <f aca="false">IF($C$17&lt;'WBS Schedule'!$H$36,0,MIN(1,NETWORKDAYS('WBS Schedule'!$H$36,$C$17,Holidays)/'WBS Schedule'!$G$36))*'WBS Schedule'!$P$36</f>
        <v>3.84</v>
      </c>
      <c r="O94" s="123" t="n">
        <f aca="false">IF($C$18&lt;'WBS Schedule'!$H$36,0,MIN(1,NETWORKDAYS('WBS Schedule'!$H$36,$C$18,Holidays)/'WBS Schedule'!$G$36))*'WBS Schedule'!$P$36</f>
        <v>3.84</v>
      </c>
      <c r="P94" s="123" t="n">
        <f aca="false">IF($C$19&lt;'WBS Schedule'!$H$36,0,MIN(1,NETWORKDAYS('WBS Schedule'!$H$36,$C$19,Holidays)/'WBS Schedule'!$G$36))*'WBS Schedule'!$P$36</f>
        <v>3.84</v>
      </c>
      <c r="Q94" s="123" t="n">
        <f aca="false">IF($C$20&lt;'WBS Schedule'!$H$36,0,MIN(1,NETWORKDAYS('WBS Schedule'!$H$36,$C$20,Holidays)/'WBS Schedule'!$G$36))*'WBS Schedule'!$P$36</f>
        <v>3.84</v>
      </c>
      <c r="R94" s="123" t="n">
        <f aca="false">IF($C$21&lt;'WBS Schedule'!$H$36,0,MIN(1,NETWORKDAYS('WBS Schedule'!$H$36,$C$21,Holidays)/'WBS Schedule'!$G$36))*'WBS Schedule'!$P$36</f>
        <v>3.84</v>
      </c>
      <c r="S94" s="123" t="n">
        <f aca="false">IF($C$22&lt;'WBS Schedule'!$H$36,0,MIN(1,NETWORKDAYS('WBS Schedule'!$H$36,$C$22,Holidays)/'WBS Schedule'!$G$36))*'WBS Schedule'!$P$36</f>
        <v>3.84</v>
      </c>
      <c r="T94" s="123" t="n">
        <f aca="false">IF($C$23&lt;'WBS Schedule'!$H$36,0,MIN(1,NETWORKDAYS('WBS Schedule'!$H$36,$C$23,Holidays)/'WBS Schedule'!$G$36))*'WBS Schedule'!$P$36</f>
        <v>3.84</v>
      </c>
      <c r="U94" s="123" t="n">
        <f aca="false">IF($C$24&lt;'WBS Schedule'!$H$36,0,MIN(1,NETWORKDAYS('WBS Schedule'!$H$36,$C$24,Holidays)/'WBS Schedule'!$G$36))*'WBS Schedule'!$P$36</f>
        <v>3.84</v>
      </c>
      <c r="V94" s="123" t="n">
        <f aca="false">IF($C$25&lt;'WBS Schedule'!$H$36,0,MIN(1,NETWORKDAYS('WBS Schedule'!$H$36,$C$25,Holidays)/'WBS Schedule'!$G$36))*'WBS Schedule'!$P$36</f>
        <v>3.84</v>
      </c>
    </row>
    <row r="95" customFormat="false" ht="15" hidden="false" customHeight="false" outlineLevel="0" collapsed="false">
      <c r="A95" s="0" t="str">
        <f aca="false">'WBS Schedule'!A37</f>
        <v>3.5</v>
      </c>
      <c r="B95" s="123" t="n">
        <f aca="false">IF($C$5&lt;'WBS Schedule'!$H$37,0,MIN(1,NETWORKDAYS('WBS Schedule'!$H$37,$C$5,Holidays)/'WBS Schedule'!$G$37))*'WBS Schedule'!$P$37</f>
        <v>0</v>
      </c>
      <c r="C95" s="123" t="n">
        <f aca="false">IF($C$6&lt;'WBS Schedule'!$H$37,0,MIN(1,NETWORKDAYS('WBS Schedule'!$H$37,$C$6,Holidays)/'WBS Schedule'!$G$37))*'WBS Schedule'!$P$37</f>
        <v>0</v>
      </c>
      <c r="D95" s="123" t="n">
        <f aca="false">IF($C$7&lt;'WBS Schedule'!$H$37,0,MIN(1,NETWORKDAYS('WBS Schedule'!$H$37,$C$7,Holidays)/'WBS Schedule'!$G$37))*'WBS Schedule'!$P$37</f>
        <v>0</v>
      </c>
      <c r="E95" s="123" t="n">
        <f aca="false">IF($C$8&lt;'WBS Schedule'!$H$37,0,MIN(1,NETWORKDAYS('WBS Schedule'!$H$37,$C$8,Holidays)/'WBS Schedule'!$G$37))*'WBS Schedule'!$P$37</f>
        <v>0</v>
      </c>
      <c r="F95" s="123" t="n">
        <f aca="false">IF($C$9&lt;'WBS Schedule'!$H$37,0,MIN(1,NETWORKDAYS('WBS Schedule'!$H$37,$C$9,Holidays)/'WBS Schedule'!$G$37))*'WBS Schedule'!$P$37</f>
        <v>0</v>
      </c>
      <c r="G95" s="123" t="n">
        <f aca="false">IF($C$10&lt;'WBS Schedule'!$H$37,0,MIN(1,NETWORKDAYS('WBS Schedule'!$H$37,$C$10,Holidays)/'WBS Schedule'!$G$37))*'WBS Schedule'!$P$37</f>
        <v>0</v>
      </c>
      <c r="H95" s="123" t="n">
        <f aca="false">IF($C$11&lt;'WBS Schedule'!$H$37,0,MIN(1,NETWORKDAYS('WBS Schedule'!$H$37,$C$11,Holidays)/'WBS Schedule'!$G$37))*'WBS Schedule'!$P$37</f>
        <v>0</v>
      </c>
      <c r="I95" s="123" t="n">
        <f aca="false">IF($C$12&lt;'WBS Schedule'!$H$37,0,MIN(1,NETWORKDAYS('WBS Schedule'!$H$37,$C$12,Holidays)/'WBS Schedule'!$G$37))*'WBS Schedule'!$P$37</f>
        <v>0</v>
      </c>
      <c r="J95" s="123" t="n">
        <f aca="false">IF($C$13&lt;'WBS Schedule'!$H$37,0,MIN(1,NETWORKDAYS('WBS Schedule'!$H$37,$C$13,Holidays)/'WBS Schedule'!$G$37))*'WBS Schedule'!$P$37</f>
        <v>0</v>
      </c>
      <c r="K95" s="123" t="n">
        <f aca="false">IF($C$14&lt;'WBS Schedule'!$H$37,0,MIN(1,NETWORKDAYS('WBS Schedule'!$H$37,$C$14,Holidays)/'WBS Schedule'!$G$37))*'WBS Schedule'!$P$37</f>
        <v>0</v>
      </c>
      <c r="L95" s="123" t="n">
        <f aca="false">IF($C$15&lt;'WBS Schedule'!$H$37,0,MIN(1,NETWORKDAYS('WBS Schedule'!$H$37,$C$15,Holidays)/'WBS Schedule'!$G$37))*'WBS Schedule'!$P$37</f>
        <v>3.84</v>
      </c>
      <c r="M95" s="123" t="n">
        <f aca="false">IF($C$16&lt;'WBS Schedule'!$H$37,0,MIN(1,NETWORKDAYS('WBS Schedule'!$H$37,$C$16,Holidays)/'WBS Schedule'!$G$37))*'WBS Schedule'!$P$37</f>
        <v>3.84</v>
      </c>
      <c r="N95" s="123" t="n">
        <f aca="false">IF($C$17&lt;'WBS Schedule'!$H$37,0,MIN(1,NETWORKDAYS('WBS Schedule'!$H$37,$C$17,Holidays)/'WBS Schedule'!$G$37))*'WBS Schedule'!$P$37</f>
        <v>3.84</v>
      </c>
      <c r="O95" s="123" t="n">
        <f aca="false">IF($C$18&lt;'WBS Schedule'!$H$37,0,MIN(1,NETWORKDAYS('WBS Schedule'!$H$37,$C$18,Holidays)/'WBS Schedule'!$G$37))*'WBS Schedule'!$P$37</f>
        <v>3.84</v>
      </c>
      <c r="P95" s="123" t="n">
        <f aca="false">IF($C$19&lt;'WBS Schedule'!$H$37,0,MIN(1,NETWORKDAYS('WBS Schedule'!$H$37,$C$19,Holidays)/'WBS Schedule'!$G$37))*'WBS Schedule'!$P$37</f>
        <v>3.84</v>
      </c>
      <c r="Q95" s="123" t="n">
        <f aca="false">IF($C$20&lt;'WBS Schedule'!$H$37,0,MIN(1,NETWORKDAYS('WBS Schedule'!$H$37,$C$20,Holidays)/'WBS Schedule'!$G$37))*'WBS Schedule'!$P$37</f>
        <v>3.84</v>
      </c>
      <c r="R95" s="123" t="n">
        <f aca="false">IF($C$21&lt;'WBS Schedule'!$H$37,0,MIN(1,NETWORKDAYS('WBS Schedule'!$H$37,$C$21,Holidays)/'WBS Schedule'!$G$37))*'WBS Schedule'!$P$37</f>
        <v>3.84</v>
      </c>
      <c r="S95" s="123" t="n">
        <f aca="false">IF($C$22&lt;'WBS Schedule'!$H$37,0,MIN(1,NETWORKDAYS('WBS Schedule'!$H$37,$C$22,Holidays)/'WBS Schedule'!$G$37))*'WBS Schedule'!$P$37</f>
        <v>3.84</v>
      </c>
      <c r="T95" s="123" t="n">
        <f aca="false">IF($C$23&lt;'WBS Schedule'!$H$37,0,MIN(1,NETWORKDAYS('WBS Schedule'!$H$37,$C$23,Holidays)/'WBS Schedule'!$G$37))*'WBS Schedule'!$P$37</f>
        <v>3.84</v>
      </c>
      <c r="U95" s="123" t="n">
        <f aca="false">IF($C$24&lt;'WBS Schedule'!$H$37,0,MIN(1,NETWORKDAYS('WBS Schedule'!$H$37,$C$24,Holidays)/'WBS Schedule'!$G$37))*'WBS Schedule'!$P$37</f>
        <v>3.84</v>
      </c>
      <c r="V95" s="123" t="n">
        <f aca="false">IF($C$25&lt;'WBS Schedule'!$H$37,0,MIN(1,NETWORKDAYS('WBS Schedule'!$H$37,$C$25,Holidays)/'WBS Schedule'!$G$37))*'WBS Schedule'!$P$37</f>
        <v>3.84</v>
      </c>
    </row>
    <row r="96" customFormat="false" ht="15" hidden="false" customHeight="false" outlineLevel="0" collapsed="false">
      <c r="A96" s="0" t="str">
        <f aca="false">'WBS Schedule'!A38</f>
        <v>3.6</v>
      </c>
      <c r="B96" s="123" t="n">
        <f aca="false">IF($C$5&lt;'WBS Schedule'!$H$38,0,MIN(1,NETWORKDAYS('WBS Schedule'!$H$38,$C$5,Holidays)/'WBS Schedule'!$G$38))*'WBS Schedule'!$P$38</f>
        <v>0</v>
      </c>
      <c r="C96" s="123" t="n">
        <f aca="false">IF($C$6&lt;'WBS Schedule'!$H$38,0,MIN(1,NETWORKDAYS('WBS Schedule'!$H$38,$C$6,Holidays)/'WBS Schedule'!$G$38))*'WBS Schedule'!$P$38</f>
        <v>0</v>
      </c>
      <c r="D96" s="123" t="n">
        <f aca="false">IF($C$7&lt;'WBS Schedule'!$H$38,0,MIN(1,NETWORKDAYS('WBS Schedule'!$H$38,$C$7,Holidays)/'WBS Schedule'!$G$38))*'WBS Schedule'!$P$38</f>
        <v>0</v>
      </c>
      <c r="E96" s="123" t="n">
        <f aca="false">IF($C$8&lt;'WBS Schedule'!$H$38,0,MIN(1,NETWORKDAYS('WBS Schedule'!$H$38,$C$8,Holidays)/'WBS Schedule'!$G$38))*'WBS Schedule'!$P$38</f>
        <v>0</v>
      </c>
      <c r="F96" s="123" t="n">
        <f aca="false">IF($C$9&lt;'WBS Schedule'!$H$38,0,MIN(1,NETWORKDAYS('WBS Schedule'!$H$38,$C$9,Holidays)/'WBS Schedule'!$G$38))*'WBS Schedule'!$P$38</f>
        <v>0</v>
      </c>
      <c r="G96" s="123" t="n">
        <f aca="false">IF($C$10&lt;'WBS Schedule'!$H$38,0,MIN(1,NETWORKDAYS('WBS Schedule'!$H$38,$C$10,Holidays)/'WBS Schedule'!$G$38))*'WBS Schedule'!$P$38</f>
        <v>0</v>
      </c>
      <c r="H96" s="123" t="n">
        <f aca="false">IF($C$11&lt;'WBS Schedule'!$H$38,0,MIN(1,NETWORKDAYS('WBS Schedule'!$H$38,$C$11,Holidays)/'WBS Schedule'!$G$38))*'WBS Schedule'!$P$38</f>
        <v>0</v>
      </c>
      <c r="I96" s="123" t="n">
        <f aca="false">IF($C$12&lt;'WBS Schedule'!$H$38,0,MIN(1,NETWORKDAYS('WBS Schedule'!$H$38,$C$12,Holidays)/'WBS Schedule'!$G$38))*'WBS Schedule'!$P$38</f>
        <v>0</v>
      </c>
      <c r="J96" s="123" t="n">
        <f aca="false">IF($C$13&lt;'WBS Schedule'!$H$38,0,MIN(1,NETWORKDAYS('WBS Schedule'!$H$38,$C$13,Holidays)/'WBS Schedule'!$G$38))*'WBS Schedule'!$P$38</f>
        <v>0</v>
      </c>
      <c r="K96" s="123" t="n">
        <f aca="false">IF($C$14&lt;'WBS Schedule'!$H$38,0,MIN(1,NETWORKDAYS('WBS Schedule'!$H$38,$C$14,Holidays)/'WBS Schedule'!$G$38))*'WBS Schedule'!$P$38</f>
        <v>0</v>
      </c>
      <c r="L96" s="123" t="n">
        <f aca="false">IF($C$15&lt;'WBS Schedule'!$H$38,0,MIN(1,NETWORKDAYS('WBS Schedule'!$H$38,$C$15,Holidays)/'WBS Schedule'!$G$38))*'WBS Schedule'!$P$38</f>
        <v>2.56</v>
      </c>
      <c r="M96" s="123" t="n">
        <f aca="false">IF($C$16&lt;'WBS Schedule'!$H$38,0,MIN(1,NETWORKDAYS('WBS Schedule'!$H$38,$C$16,Holidays)/'WBS Schedule'!$G$38))*'WBS Schedule'!$P$38</f>
        <v>2.56</v>
      </c>
      <c r="N96" s="123" t="n">
        <f aca="false">IF($C$17&lt;'WBS Schedule'!$H$38,0,MIN(1,NETWORKDAYS('WBS Schedule'!$H$38,$C$17,Holidays)/'WBS Schedule'!$G$38))*'WBS Schedule'!$P$38</f>
        <v>2.56</v>
      </c>
      <c r="O96" s="123" t="n">
        <f aca="false">IF($C$18&lt;'WBS Schedule'!$H$38,0,MIN(1,NETWORKDAYS('WBS Schedule'!$H$38,$C$18,Holidays)/'WBS Schedule'!$G$38))*'WBS Schedule'!$P$38</f>
        <v>2.56</v>
      </c>
      <c r="P96" s="123" t="n">
        <f aca="false">IF($C$19&lt;'WBS Schedule'!$H$38,0,MIN(1,NETWORKDAYS('WBS Schedule'!$H$38,$C$19,Holidays)/'WBS Schedule'!$G$38))*'WBS Schedule'!$P$38</f>
        <v>2.56</v>
      </c>
      <c r="Q96" s="123" t="n">
        <f aca="false">IF($C$20&lt;'WBS Schedule'!$H$38,0,MIN(1,NETWORKDAYS('WBS Schedule'!$H$38,$C$20,Holidays)/'WBS Schedule'!$G$38))*'WBS Schedule'!$P$38</f>
        <v>2.56</v>
      </c>
      <c r="R96" s="123" t="n">
        <f aca="false">IF($C$21&lt;'WBS Schedule'!$H$38,0,MIN(1,NETWORKDAYS('WBS Schedule'!$H$38,$C$21,Holidays)/'WBS Schedule'!$G$38))*'WBS Schedule'!$P$38</f>
        <v>2.56</v>
      </c>
      <c r="S96" s="123" t="n">
        <f aca="false">IF($C$22&lt;'WBS Schedule'!$H$38,0,MIN(1,NETWORKDAYS('WBS Schedule'!$H$38,$C$22,Holidays)/'WBS Schedule'!$G$38))*'WBS Schedule'!$P$38</f>
        <v>2.56</v>
      </c>
      <c r="T96" s="123" t="n">
        <f aca="false">IF($C$23&lt;'WBS Schedule'!$H$38,0,MIN(1,NETWORKDAYS('WBS Schedule'!$H$38,$C$23,Holidays)/'WBS Schedule'!$G$38))*'WBS Schedule'!$P$38</f>
        <v>2.56</v>
      </c>
      <c r="U96" s="123" t="n">
        <f aca="false">IF($C$24&lt;'WBS Schedule'!$H$38,0,MIN(1,NETWORKDAYS('WBS Schedule'!$H$38,$C$24,Holidays)/'WBS Schedule'!$G$38))*'WBS Schedule'!$P$38</f>
        <v>2.56</v>
      </c>
      <c r="V96" s="123" t="n">
        <f aca="false">IF($C$25&lt;'WBS Schedule'!$H$38,0,MIN(1,NETWORKDAYS('WBS Schedule'!$H$38,$C$25,Holidays)/'WBS Schedule'!$G$38))*'WBS Schedule'!$P$38</f>
        <v>2.56</v>
      </c>
    </row>
    <row r="97" customFormat="false" ht="15" hidden="false" customHeight="false" outlineLevel="0" collapsed="false">
      <c r="A97" s="0" t="str">
        <f aca="false">'WBS Schedule'!A39</f>
        <v>3.7</v>
      </c>
      <c r="B97" s="123" t="n">
        <f aca="false">IF($C$5&lt;'WBS Schedule'!$H$39,0,MIN(1,NETWORKDAYS('WBS Schedule'!$H$39,$C$5,Holidays)/'WBS Schedule'!$G$39))*'WBS Schedule'!$P$39</f>
        <v>0</v>
      </c>
      <c r="C97" s="123" t="n">
        <f aca="false">IF($C$6&lt;'WBS Schedule'!$H$39,0,MIN(1,NETWORKDAYS('WBS Schedule'!$H$39,$C$6,Holidays)/'WBS Schedule'!$G$39))*'WBS Schedule'!$P$39</f>
        <v>0</v>
      </c>
      <c r="D97" s="123" t="n">
        <f aca="false">IF($C$7&lt;'WBS Schedule'!$H$39,0,MIN(1,NETWORKDAYS('WBS Schedule'!$H$39,$C$7,Holidays)/'WBS Schedule'!$G$39))*'WBS Schedule'!$P$39</f>
        <v>0</v>
      </c>
      <c r="E97" s="123" t="n">
        <f aca="false">IF($C$8&lt;'WBS Schedule'!$H$39,0,MIN(1,NETWORKDAYS('WBS Schedule'!$H$39,$C$8,Holidays)/'WBS Schedule'!$G$39))*'WBS Schedule'!$P$39</f>
        <v>0</v>
      </c>
      <c r="F97" s="123" t="n">
        <f aca="false">IF($C$9&lt;'WBS Schedule'!$H$39,0,MIN(1,NETWORKDAYS('WBS Schedule'!$H$39,$C$9,Holidays)/'WBS Schedule'!$G$39))*'WBS Schedule'!$P$39</f>
        <v>0</v>
      </c>
      <c r="G97" s="123" t="n">
        <f aca="false">IF($C$10&lt;'WBS Schedule'!$H$39,0,MIN(1,NETWORKDAYS('WBS Schedule'!$H$39,$C$10,Holidays)/'WBS Schedule'!$G$39))*'WBS Schedule'!$P$39</f>
        <v>0</v>
      </c>
      <c r="H97" s="123" t="n">
        <f aca="false">IF($C$11&lt;'WBS Schedule'!$H$39,0,MIN(1,NETWORKDAYS('WBS Schedule'!$H$39,$C$11,Holidays)/'WBS Schedule'!$G$39))*'WBS Schedule'!$P$39</f>
        <v>0</v>
      </c>
      <c r="I97" s="123" t="n">
        <f aca="false">IF($C$12&lt;'WBS Schedule'!$H$39,0,MIN(1,NETWORKDAYS('WBS Schedule'!$H$39,$C$12,Holidays)/'WBS Schedule'!$G$39))*'WBS Schedule'!$P$39</f>
        <v>0</v>
      </c>
      <c r="J97" s="123" t="n">
        <f aca="false">IF($C$13&lt;'WBS Schedule'!$H$39,0,MIN(1,NETWORKDAYS('WBS Schedule'!$H$39,$C$13,Holidays)/'WBS Schedule'!$G$39))*'WBS Schedule'!$P$39</f>
        <v>0</v>
      </c>
      <c r="K97" s="123" t="n">
        <f aca="false">IF($C$14&lt;'WBS Schedule'!$H$39,0,MIN(1,NETWORKDAYS('WBS Schedule'!$H$39,$C$14,Holidays)/'WBS Schedule'!$G$39))*'WBS Schedule'!$P$39</f>
        <v>0</v>
      </c>
      <c r="L97" s="123" t="n">
        <f aca="false">IF($C$15&lt;'WBS Schedule'!$H$39,0,MIN(1,NETWORKDAYS('WBS Schedule'!$H$39,$C$15,Holidays)/'WBS Schedule'!$G$39))*'WBS Schedule'!$P$39</f>
        <v>0.64</v>
      </c>
      <c r="M97" s="123" t="n">
        <f aca="false">IF($C$16&lt;'WBS Schedule'!$H$39,0,MIN(1,NETWORKDAYS('WBS Schedule'!$H$39,$C$16,Holidays)/'WBS Schedule'!$G$39))*'WBS Schedule'!$P$39</f>
        <v>1.92</v>
      </c>
      <c r="N97" s="123" t="n">
        <f aca="false">IF($C$17&lt;'WBS Schedule'!$H$39,0,MIN(1,NETWORKDAYS('WBS Schedule'!$H$39,$C$17,Holidays)/'WBS Schedule'!$G$39))*'WBS Schedule'!$P$39</f>
        <v>1.92</v>
      </c>
      <c r="O97" s="123" t="n">
        <f aca="false">IF($C$18&lt;'WBS Schedule'!$H$39,0,MIN(1,NETWORKDAYS('WBS Schedule'!$H$39,$C$18,Holidays)/'WBS Schedule'!$G$39))*'WBS Schedule'!$P$39</f>
        <v>1.92</v>
      </c>
      <c r="P97" s="123" t="n">
        <f aca="false">IF($C$19&lt;'WBS Schedule'!$H$39,0,MIN(1,NETWORKDAYS('WBS Schedule'!$H$39,$C$19,Holidays)/'WBS Schedule'!$G$39))*'WBS Schedule'!$P$39</f>
        <v>1.92</v>
      </c>
      <c r="Q97" s="123" t="n">
        <f aca="false">IF($C$20&lt;'WBS Schedule'!$H$39,0,MIN(1,NETWORKDAYS('WBS Schedule'!$H$39,$C$20,Holidays)/'WBS Schedule'!$G$39))*'WBS Schedule'!$P$39</f>
        <v>1.92</v>
      </c>
      <c r="R97" s="123" t="n">
        <f aca="false">IF($C$21&lt;'WBS Schedule'!$H$39,0,MIN(1,NETWORKDAYS('WBS Schedule'!$H$39,$C$21,Holidays)/'WBS Schedule'!$G$39))*'WBS Schedule'!$P$39</f>
        <v>1.92</v>
      </c>
      <c r="S97" s="123" t="n">
        <f aca="false">IF($C$22&lt;'WBS Schedule'!$H$39,0,MIN(1,NETWORKDAYS('WBS Schedule'!$H$39,$C$22,Holidays)/'WBS Schedule'!$G$39))*'WBS Schedule'!$P$39</f>
        <v>1.92</v>
      </c>
      <c r="T97" s="123" t="n">
        <f aca="false">IF($C$23&lt;'WBS Schedule'!$H$39,0,MIN(1,NETWORKDAYS('WBS Schedule'!$H$39,$C$23,Holidays)/'WBS Schedule'!$G$39))*'WBS Schedule'!$P$39</f>
        <v>1.92</v>
      </c>
      <c r="U97" s="123" t="n">
        <f aca="false">IF($C$24&lt;'WBS Schedule'!$H$39,0,MIN(1,NETWORKDAYS('WBS Schedule'!$H$39,$C$24,Holidays)/'WBS Schedule'!$G$39))*'WBS Schedule'!$P$39</f>
        <v>1.92</v>
      </c>
      <c r="V97" s="123" t="n">
        <f aca="false">IF($C$25&lt;'WBS Schedule'!$H$39,0,MIN(1,NETWORKDAYS('WBS Schedule'!$H$39,$C$25,Holidays)/'WBS Schedule'!$G$39))*'WBS Schedule'!$P$39</f>
        <v>1.92</v>
      </c>
    </row>
    <row r="98" customFormat="false" ht="15" hidden="false" customHeight="false" outlineLevel="0" collapsed="false">
      <c r="A98" s="0" t="str">
        <f aca="false">'WBS Schedule'!A40</f>
        <v>3.8</v>
      </c>
      <c r="B98" s="123" t="n">
        <f aca="false">IF($C$5&lt;'WBS Schedule'!$H$40,0,MIN(1,NETWORKDAYS('WBS Schedule'!$H$40,$C$5,Holidays)/'WBS Schedule'!$G$40))*'WBS Schedule'!$P$40</f>
        <v>0</v>
      </c>
      <c r="C98" s="123" t="n">
        <f aca="false">IF($C$6&lt;'WBS Schedule'!$H$40,0,MIN(1,NETWORKDAYS('WBS Schedule'!$H$40,$C$6,Holidays)/'WBS Schedule'!$G$40))*'WBS Schedule'!$P$40</f>
        <v>0</v>
      </c>
      <c r="D98" s="123" t="n">
        <f aca="false">IF($C$7&lt;'WBS Schedule'!$H$40,0,MIN(1,NETWORKDAYS('WBS Schedule'!$H$40,$C$7,Holidays)/'WBS Schedule'!$G$40))*'WBS Schedule'!$P$40</f>
        <v>0</v>
      </c>
      <c r="E98" s="123" t="n">
        <f aca="false">IF($C$8&lt;'WBS Schedule'!$H$40,0,MIN(1,NETWORKDAYS('WBS Schedule'!$H$40,$C$8,Holidays)/'WBS Schedule'!$G$40))*'WBS Schedule'!$P$40</f>
        <v>0</v>
      </c>
      <c r="F98" s="123" t="n">
        <f aca="false">IF($C$9&lt;'WBS Schedule'!$H$40,0,MIN(1,NETWORKDAYS('WBS Schedule'!$H$40,$C$9,Holidays)/'WBS Schedule'!$G$40))*'WBS Schedule'!$P$40</f>
        <v>0</v>
      </c>
      <c r="G98" s="123" t="n">
        <f aca="false">IF($C$10&lt;'WBS Schedule'!$H$40,0,MIN(1,NETWORKDAYS('WBS Schedule'!$H$40,$C$10,Holidays)/'WBS Schedule'!$G$40))*'WBS Schedule'!$P$40</f>
        <v>0</v>
      </c>
      <c r="H98" s="123" t="n">
        <f aca="false">IF($C$11&lt;'WBS Schedule'!$H$40,0,MIN(1,NETWORKDAYS('WBS Schedule'!$H$40,$C$11,Holidays)/'WBS Schedule'!$G$40))*'WBS Schedule'!$P$40</f>
        <v>0</v>
      </c>
      <c r="I98" s="123" t="n">
        <f aca="false">IF($C$12&lt;'WBS Schedule'!$H$40,0,MIN(1,NETWORKDAYS('WBS Schedule'!$H$40,$C$12,Holidays)/'WBS Schedule'!$G$40))*'WBS Schedule'!$P$40</f>
        <v>0</v>
      </c>
      <c r="J98" s="123" t="n">
        <f aca="false">IF($C$13&lt;'WBS Schedule'!$H$40,0,MIN(1,NETWORKDAYS('WBS Schedule'!$H$40,$C$13,Holidays)/'WBS Schedule'!$G$40))*'WBS Schedule'!$P$40</f>
        <v>0</v>
      </c>
      <c r="K98" s="123" t="n">
        <f aca="false">IF($C$14&lt;'WBS Schedule'!$H$40,0,MIN(1,NETWORKDAYS('WBS Schedule'!$H$40,$C$14,Holidays)/'WBS Schedule'!$G$40))*'WBS Schedule'!$P$40</f>
        <v>0</v>
      </c>
      <c r="L98" s="123" t="n">
        <f aca="false">IF($C$15&lt;'WBS Schedule'!$H$40,0,MIN(1,NETWORKDAYS('WBS Schedule'!$H$40,$C$15,Holidays)/'WBS Schedule'!$G$40))*'WBS Schedule'!$P$40</f>
        <v>0</v>
      </c>
      <c r="M98" s="123" t="n">
        <f aca="false">IF($C$16&lt;'WBS Schedule'!$H$40,0,MIN(1,NETWORKDAYS('WBS Schedule'!$H$40,$C$16,Holidays)/'WBS Schedule'!$G$40))*'WBS Schedule'!$P$40</f>
        <v>1.92</v>
      </c>
      <c r="N98" s="123" t="n">
        <f aca="false">IF($C$17&lt;'WBS Schedule'!$H$40,0,MIN(1,NETWORKDAYS('WBS Schedule'!$H$40,$C$17,Holidays)/'WBS Schedule'!$G$40))*'WBS Schedule'!$P$40</f>
        <v>1.92</v>
      </c>
      <c r="O98" s="123" t="n">
        <f aca="false">IF($C$18&lt;'WBS Schedule'!$H$40,0,MIN(1,NETWORKDAYS('WBS Schedule'!$H$40,$C$18,Holidays)/'WBS Schedule'!$G$40))*'WBS Schedule'!$P$40</f>
        <v>1.92</v>
      </c>
      <c r="P98" s="123" t="n">
        <f aca="false">IF($C$19&lt;'WBS Schedule'!$H$40,0,MIN(1,NETWORKDAYS('WBS Schedule'!$H$40,$C$19,Holidays)/'WBS Schedule'!$G$40))*'WBS Schedule'!$P$40</f>
        <v>1.92</v>
      </c>
      <c r="Q98" s="123" t="n">
        <f aca="false">IF($C$20&lt;'WBS Schedule'!$H$40,0,MIN(1,NETWORKDAYS('WBS Schedule'!$H$40,$C$20,Holidays)/'WBS Schedule'!$G$40))*'WBS Schedule'!$P$40</f>
        <v>1.92</v>
      </c>
      <c r="R98" s="123" t="n">
        <f aca="false">IF($C$21&lt;'WBS Schedule'!$H$40,0,MIN(1,NETWORKDAYS('WBS Schedule'!$H$40,$C$21,Holidays)/'WBS Schedule'!$G$40))*'WBS Schedule'!$P$40</f>
        <v>1.92</v>
      </c>
      <c r="S98" s="123" t="n">
        <f aca="false">IF($C$22&lt;'WBS Schedule'!$H$40,0,MIN(1,NETWORKDAYS('WBS Schedule'!$H$40,$C$22,Holidays)/'WBS Schedule'!$G$40))*'WBS Schedule'!$P$40</f>
        <v>1.92</v>
      </c>
      <c r="T98" s="123" t="n">
        <f aca="false">IF($C$23&lt;'WBS Schedule'!$H$40,0,MIN(1,NETWORKDAYS('WBS Schedule'!$H$40,$C$23,Holidays)/'WBS Schedule'!$G$40))*'WBS Schedule'!$P$40</f>
        <v>1.92</v>
      </c>
      <c r="U98" s="123" t="n">
        <f aca="false">IF($C$24&lt;'WBS Schedule'!$H$40,0,MIN(1,NETWORKDAYS('WBS Schedule'!$H$40,$C$24,Holidays)/'WBS Schedule'!$G$40))*'WBS Schedule'!$P$40</f>
        <v>1.92</v>
      </c>
      <c r="V98" s="123" t="n">
        <f aca="false">IF($C$25&lt;'WBS Schedule'!$H$40,0,MIN(1,NETWORKDAYS('WBS Schedule'!$H$40,$C$25,Holidays)/'WBS Schedule'!$G$40))*'WBS Schedule'!$P$40</f>
        <v>1.92</v>
      </c>
    </row>
    <row r="99" customFormat="false" ht="15" hidden="false" customHeight="false" outlineLevel="0" collapsed="false">
      <c r="A99" s="0" t="str">
        <f aca="false">'WBS Schedule'!A41</f>
        <v>3.9</v>
      </c>
      <c r="B99" s="123" t="n">
        <f aca="false">IF($C$5&lt;'WBS Schedule'!$H$41,0,MIN(1,NETWORKDAYS('WBS Schedule'!$H$41,$C$5,Holidays)/'WBS Schedule'!$G$41))*'WBS Schedule'!$P$41</f>
        <v>0</v>
      </c>
      <c r="C99" s="123" t="n">
        <f aca="false">IF($C$6&lt;'WBS Schedule'!$H$41,0,MIN(1,NETWORKDAYS('WBS Schedule'!$H$41,$C$6,Holidays)/'WBS Schedule'!$G$41))*'WBS Schedule'!$P$41</f>
        <v>0</v>
      </c>
      <c r="D99" s="123" t="n">
        <f aca="false">IF($C$7&lt;'WBS Schedule'!$H$41,0,MIN(1,NETWORKDAYS('WBS Schedule'!$H$41,$C$7,Holidays)/'WBS Schedule'!$G$41))*'WBS Schedule'!$P$41</f>
        <v>0</v>
      </c>
      <c r="E99" s="123" t="n">
        <f aca="false">IF($C$8&lt;'WBS Schedule'!$H$41,0,MIN(1,NETWORKDAYS('WBS Schedule'!$H$41,$C$8,Holidays)/'WBS Schedule'!$G$41))*'WBS Schedule'!$P$41</f>
        <v>0</v>
      </c>
      <c r="F99" s="123" t="n">
        <f aca="false">IF($C$9&lt;'WBS Schedule'!$H$41,0,MIN(1,NETWORKDAYS('WBS Schedule'!$H$41,$C$9,Holidays)/'WBS Schedule'!$G$41))*'WBS Schedule'!$P$41</f>
        <v>0</v>
      </c>
      <c r="G99" s="123" t="n">
        <f aca="false">IF($C$10&lt;'WBS Schedule'!$H$41,0,MIN(1,NETWORKDAYS('WBS Schedule'!$H$41,$C$10,Holidays)/'WBS Schedule'!$G$41))*'WBS Schedule'!$P$41</f>
        <v>0</v>
      </c>
      <c r="H99" s="123" t="n">
        <f aca="false">IF($C$11&lt;'WBS Schedule'!$H$41,0,MIN(1,NETWORKDAYS('WBS Schedule'!$H$41,$C$11,Holidays)/'WBS Schedule'!$G$41))*'WBS Schedule'!$P$41</f>
        <v>0</v>
      </c>
      <c r="I99" s="123" t="n">
        <f aca="false">IF($C$12&lt;'WBS Schedule'!$H$41,0,MIN(1,NETWORKDAYS('WBS Schedule'!$H$41,$C$12,Holidays)/'WBS Schedule'!$G$41))*'WBS Schedule'!$P$41</f>
        <v>0</v>
      </c>
      <c r="J99" s="123" t="n">
        <f aca="false">IF($C$13&lt;'WBS Schedule'!$H$41,0,MIN(1,NETWORKDAYS('WBS Schedule'!$H$41,$C$13,Holidays)/'WBS Schedule'!$G$41))*'WBS Schedule'!$P$41</f>
        <v>0</v>
      </c>
      <c r="K99" s="123" t="n">
        <f aca="false">IF($C$14&lt;'WBS Schedule'!$H$41,0,MIN(1,NETWORKDAYS('WBS Schedule'!$H$41,$C$14,Holidays)/'WBS Schedule'!$G$41))*'WBS Schedule'!$P$41</f>
        <v>0</v>
      </c>
      <c r="L99" s="123" t="n">
        <f aca="false">IF($C$15&lt;'WBS Schedule'!$H$41,0,MIN(1,NETWORKDAYS('WBS Schedule'!$H$41,$C$15,Holidays)/'WBS Schedule'!$G$41))*'WBS Schedule'!$P$41</f>
        <v>0</v>
      </c>
      <c r="M99" s="123" t="n">
        <f aca="false">IF($C$16&lt;'WBS Schedule'!$H$41,0,MIN(1,NETWORKDAYS('WBS Schedule'!$H$41,$C$16,Holidays)/'WBS Schedule'!$G$41))*'WBS Schedule'!$P$41</f>
        <v>1.92</v>
      </c>
      <c r="N99" s="123" t="n">
        <f aca="false">IF($C$17&lt;'WBS Schedule'!$H$41,0,MIN(1,NETWORKDAYS('WBS Schedule'!$H$41,$C$17,Holidays)/'WBS Schedule'!$G$41))*'WBS Schedule'!$P$41</f>
        <v>2.88</v>
      </c>
      <c r="O99" s="123" t="n">
        <f aca="false">IF($C$18&lt;'WBS Schedule'!$H$41,0,MIN(1,NETWORKDAYS('WBS Schedule'!$H$41,$C$18,Holidays)/'WBS Schedule'!$G$41))*'WBS Schedule'!$P$41</f>
        <v>2.88</v>
      </c>
      <c r="P99" s="123" t="n">
        <f aca="false">IF($C$19&lt;'WBS Schedule'!$H$41,0,MIN(1,NETWORKDAYS('WBS Schedule'!$H$41,$C$19,Holidays)/'WBS Schedule'!$G$41))*'WBS Schedule'!$P$41</f>
        <v>2.88</v>
      </c>
      <c r="Q99" s="123" t="n">
        <f aca="false">IF($C$20&lt;'WBS Schedule'!$H$41,0,MIN(1,NETWORKDAYS('WBS Schedule'!$H$41,$C$20,Holidays)/'WBS Schedule'!$G$41))*'WBS Schedule'!$P$41</f>
        <v>2.88</v>
      </c>
      <c r="R99" s="123" t="n">
        <f aca="false">IF($C$21&lt;'WBS Schedule'!$H$41,0,MIN(1,NETWORKDAYS('WBS Schedule'!$H$41,$C$21,Holidays)/'WBS Schedule'!$G$41))*'WBS Schedule'!$P$41</f>
        <v>2.88</v>
      </c>
      <c r="S99" s="123" t="n">
        <f aca="false">IF($C$22&lt;'WBS Schedule'!$H$41,0,MIN(1,NETWORKDAYS('WBS Schedule'!$H$41,$C$22,Holidays)/'WBS Schedule'!$G$41))*'WBS Schedule'!$P$41</f>
        <v>2.88</v>
      </c>
      <c r="T99" s="123" t="n">
        <f aca="false">IF($C$23&lt;'WBS Schedule'!$H$41,0,MIN(1,NETWORKDAYS('WBS Schedule'!$H$41,$C$23,Holidays)/'WBS Schedule'!$G$41))*'WBS Schedule'!$P$41</f>
        <v>2.88</v>
      </c>
      <c r="U99" s="123" t="n">
        <f aca="false">IF($C$24&lt;'WBS Schedule'!$H$41,0,MIN(1,NETWORKDAYS('WBS Schedule'!$H$41,$C$24,Holidays)/'WBS Schedule'!$G$41))*'WBS Schedule'!$P$41</f>
        <v>2.88</v>
      </c>
      <c r="V99" s="123" t="n">
        <f aca="false">IF($C$25&lt;'WBS Schedule'!$H$41,0,MIN(1,NETWORKDAYS('WBS Schedule'!$H$41,$C$25,Holidays)/'WBS Schedule'!$G$41))*'WBS Schedule'!$P$41</f>
        <v>2.88</v>
      </c>
    </row>
    <row r="100" customFormat="false" ht="15" hidden="false" customHeight="false" outlineLevel="0" collapsed="false">
      <c r="A100" s="0" t="str">
        <f aca="false">'WBS Schedule'!A42</f>
        <v>3.10</v>
      </c>
      <c r="B100" s="123" t="n">
        <f aca="false">IF($C$5&lt;'WBS Schedule'!$H$42,0,MIN(1,NETWORKDAYS('WBS Schedule'!$H$42,$C$5,Holidays)/'WBS Schedule'!$G$42))*'WBS Schedule'!$P$42</f>
        <v>0</v>
      </c>
      <c r="C100" s="123" t="n">
        <f aca="false">IF($C$6&lt;'WBS Schedule'!$H$42,0,MIN(1,NETWORKDAYS('WBS Schedule'!$H$42,$C$6,Holidays)/'WBS Schedule'!$G$42))*'WBS Schedule'!$P$42</f>
        <v>0</v>
      </c>
      <c r="D100" s="123" t="n">
        <f aca="false">IF($C$7&lt;'WBS Schedule'!$H$42,0,MIN(1,NETWORKDAYS('WBS Schedule'!$H$42,$C$7,Holidays)/'WBS Schedule'!$G$42))*'WBS Schedule'!$P$42</f>
        <v>0</v>
      </c>
      <c r="E100" s="123" t="n">
        <f aca="false">IF($C$8&lt;'WBS Schedule'!$H$42,0,MIN(1,NETWORKDAYS('WBS Schedule'!$H$42,$C$8,Holidays)/'WBS Schedule'!$G$42))*'WBS Schedule'!$P$42</f>
        <v>0</v>
      </c>
      <c r="F100" s="123" t="n">
        <f aca="false">IF($C$9&lt;'WBS Schedule'!$H$42,0,MIN(1,NETWORKDAYS('WBS Schedule'!$H$42,$C$9,Holidays)/'WBS Schedule'!$G$42))*'WBS Schedule'!$P$42</f>
        <v>0</v>
      </c>
      <c r="G100" s="123" t="n">
        <f aca="false">IF($C$10&lt;'WBS Schedule'!$H$42,0,MIN(1,NETWORKDAYS('WBS Schedule'!$H$42,$C$10,Holidays)/'WBS Schedule'!$G$42))*'WBS Schedule'!$P$42</f>
        <v>0</v>
      </c>
      <c r="H100" s="123" t="n">
        <f aca="false">IF($C$11&lt;'WBS Schedule'!$H$42,0,MIN(1,NETWORKDAYS('WBS Schedule'!$H$42,$C$11,Holidays)/'WBS Schedule'!$G$42))*'WBS Schedule'!$P$42</f>
        <v>0</v>
      </c>
      <c r="I100" s="123" t="n">
        <f aca="false">IF($C$12&lt;'WBS Schedule'!$H$42,0,MIN(1,NETWORKDAYS('WBS Schedule'!$H$42,$C$12,Holidays)/'WBS Schedule'!$G$42))*'WBS Schedule'!$P$42</f>
        <v>0</v>
      </c>
      <c r="J100" s="123" t="n">
        <f aca="false">IF($C$13&lt;'WBS Schedule'!$H$42,0,MIN(1,NETWORKDAYS('WBS Schedule'!$H$42,$C$13,Holidays)/'WBS Schedule'!$G$42))*'WBS Schedule'!$P$42</f>
        <v>0</v>
      </c>
      <c r="K100" s="123" t="n">
        <f aca="false">IF($C$14&lt;'WBS Schedule'!$H$42,0,MIN(1,NETWORKDAYS('WBS Schedule'!$H$42,$C$14,Holidays)/'WBS Schedule'!$G$42))*'WBS Schedule'!$P$42</f>
        <v>0</v>
      </c>
      <c r="L100" s="123" t="n">
        <f aca="false">IF($C$15&lt;'WBS Schedule'!$H$42,0,MIN(1,NETWORKDAYS('WBS Schedule'!$H$42,$C$15,Holidays)/'WBS Schedule'!$G$42))*'WBS Schedule'!$P$42</f>
        <v>0</v>
      </c>
      <c r="M100" s="123" t="n">
        <f aca="false">IF($C$16&lt;'WBS Schedule'!$H$42,0,MIN(1,NETWORKDAYS('WBS Schedule'!$H$42,$C$16,Holidays)/'WBS Schedule'!$G$42))*'WBS Schedule'!$P$42</f>
        <v>0</v>
      </c>
      <c r="N100" s="123" t="n">
        <f aca="false">IF($C$17&lt;'WBS Schedule'!$H$42,0,MIN(1,NETWORKDAYS('WBS Schedule'!$H$42,$C$17,Holidays)/'WBS Schedule'!$G$42))*'WBS Schedule'!$P$42</f>
        <v>0.32</v>
      </c>
      <c r="O100" s="123" t="n">
        <f aca="false">IF($C$18&lt;'WBS Schedule'!$H$42,0,MIN(1,NETWORKDAYS('WBS Schedule'!$H$42,$C$18,Holidays)/'WBS Schedule'!$G$42))*'WBS Schedule'!$P$42</f>
        <v>0.32</v>
      </c>
      <c r="P100" s="123" t="n">
        <f aca="false">IF($C$19&lt;'WBS Schedule'!$H$42,0,MIN(1,NETWORKDAYS('WBS Schedule'!$H$42,$C$19,Holidays)/'WBS Schedule'!$G$42))*'WBS Schedule'!$P$42</f>
        <v>0.32</v>
      </c>
      <c r="Q100" s="123" t="n">
        <f aca="false">IF($C$20&lt;'WBS Schedule'!$H$42,0,MIN(1,NETWORKDAYS('WBS Schedule'!$H$42,$C$20,Holidays)/'WBS Schedule'!$G$42))*'WBS Schedule'!$P$42</f>
        <v>0.32</v>
      </c>
      <c r="R100" s="123" t="n">
        <f aca="false">IF($C$21&lt;'WBS Schedule'!$H$42,0,MIN(1,NETWORKDAYS('WBS Schedule'!$H$42,$C$21,Holidays)/'WBS Schedule'!$G$42))*'WBS Schedule'!$P$42</f>
        <v>0.32</v>
      </c>
      <c r="S100" s="123" t="n">
        <f aca="false">IF($C$22&lt;'WBS Schedule'!$H$42,0,MIN(1,NETWORKDAYS('WBS Schedule'!$H$42,$C$22,Holidays)/'WBS Schedule'!$G$42))*'WBS Schedule'!$P$42</f>
        <v>0.32</v>
      </c>
      <c r="T100" s="123" t="n">
        <f aca="false">IF($C$23&lt;'WBS Schedule'!$H$42,0,MIN(1,NETWORKDAYS('WBS Schedule'!$H$42,$C$23,Holidays)/'WBS Schedule'!$G$42))*'WBS Schedule'!$P$42</f>
        <v>0.32</v>
      </c>
      <c r="U100" s="123" t="n">
        <f aca="false">IF($C$24&lt;'WBS Schedule'!$H$42,0,MIN(1,NETWORKDAYS('WBS Schedule'!$H$42,$C$24,Holidays)/'WBS Schedule'!$G$42))*'WBS Schedule'!$P$42</f>
        <v>0.32</v>
      </c>
      <c r="V100" s="123" t="n">
        <f aca="false">IF($C$25&lt;'WBS Schedule'!$H$42,0,MIN(1,NETWORKDAYS('WBS Schedule'!$H$42,$C$25,Holidays)/'WBS Schedule'!$G$42))*'WBS Schedule'!$P$42</f>
        <v>0.32</v>
      </c>
    </row>
    <row r="101" customFormat="false" ht="15" hidden="false" customHeight="false" outlineLevel="0" collapsed="false">
      <c r="A101" s="0" t="str">
        <f aca="false">'WBS Schedule'!A45</f>
        <v>4.1</v>
      </c>
      <c r="B101" s="123" t="n">
        <f aca="false">IF($C$5&lt;'WBS Schedule'!$H$45,0,MIN(1,NETWORKDAYS('WBS Schedule'!$H$45,$C$5,Holidays)/'WBS Schedule'!$G$45))*'WBS Schedule'!$P$45</f>
        <v>0</v>
      </c>
      <c r="C101" s="123" t="n">
        <f aca="false">IF($C$6&lt;'WBS Schedule'!$H$45,0,MIN(1,NETWORKDAYS('WBS Schedule'!$H$45,$C$6,Holidays)/'WBS Schedule'!$G$45))*'WBS Schedule'!$P$45</f>
        <v>0</v>
      </c>
      <c r="D101" s="123" t="n">
        <f aca="false">IF($C$7&lt;'WBS Schedule'!$H$45,0,MIN(1,NETWORKDAYS('WBS Schedule'!$H$45,$C$7,Holidays)/'WBS Schedule'!$G$45))*'WBS Schedule'!$P$45</f>
        <v>0</v>
      </c>
      <c r="E101" s="123" t="n">
        <f aca="false">IF($C$8&lt;'WBS Schedule'!$H$45,0,MIN(1,NETWORKDAYS('WBS Schedule'!$H$45,$C$8,Holidays)/'WBS Schedule'!$G$45))*'WBS Schedule'!$P$45</f>
        <v>0</v>
      </c>
      <c r="F101" s="123" t="n">
        <f aca="false">IF($C$9&lt;'WBS Schedule'!$H$45,0,MIN(1,NETWORKDAYS('WBS Schedule'!$H$45,$C$9,Holidays)/'WBS Schedule'!$G$45))*'WBS Schedule'!$P$45</f>
        <v>0</v>
      </c>
      <c r="G101" s="123" t="n">
        <f aca="false">IF($C$10&lt;'WBS Schedule'!$H$45,0,MIN(1,NETWORKDAYS('WBS Schedule'!$H$45,$C$10,Holidays)/'WBS Schedule'!$G$45))*'WBS Schedule'!$P$45</f>
        <v>0</v>
      </c>
      <c r="H101" s="123" t="n">
        <f aca="false">IF($C$11&lt;'WBS Schedule'!$H$45,0,MIN(1,NETWORKDAYS('WBS Schedule'!$H$45,$C$11,Holidays)/'WBS Schedule'!$G$45))*'WBS Schedule'!$P$45</f>
        <v>0</v>
      </c>
      <c r="I101" s="123" t="n">
        <f aca="false">IF($C$12&lt;'WBS Schedule'!$H$45,0,MIN(1,NETWORKDAYS('WBS Schedule'!$H$45,$C$12,Holidays)/'WBS Schedule'!$G$45))*'WBS Schedule'!$P$45</f>
        <v>0</v>
      </c>
      <c r="J101" s="123" t="n">
        <f aca="false">IF($C$13&lt;'WBS Schedule'!$H$45,0,MIN(1,NETWORKDAYS('WBS Schedule'!$H$45,$C$13,Holidays)/'WBS Schedule'!$G$45))*'WBS Schedule'!$P$45</f>
        <v>0</v>
      </c>
      <c r="K101" s="123" t="n">
        <f aca="false">IF($C$14&lt;'WBS Schedule'!$H$45,0,MIN(1,NETWORKDAYS('WBS Schedule'!$H$45,$C$14,Holidays)/'WBS Schedule'!$G$45))*'WBS Schedule'!$P$45</f>
        <v>0</v>
      </c>
      <c r="L101" s="123" t="n">
        <f aca="false">IF($C$15&lt;'WBS Schedule'!$H$45,0,MIN(1,NETWORKDAYS('WBS Schedule'!$H$45,$C$15,Holidays)/'WBS Schedule'!$G$45))*'WBS Schedule'!$P$45</f>
        <v>0</v>
      </c>
      <c r="M101" s="123" t="n">
        <f aca="false">IF($C$16&lt;'WBS Schedule'!$H$45,0,MIN(1,NETWORKDAYS('WBS Schedule'!$H$45,$C$16,Holidays)/'WBS Schedule'!$G$45))*'WBS Schedule'!$P$45</f>
        <v>0</v>
      </c>
      <c r="N101" s="123" t="n">
        <f aca="false">IF($C$17&lt;'WBS Schedule'!$H$45,0,MIN(1,NETWORKDAYS('WBS Schedule'!$H$45,$C$17,Holidays)/'WBS Schedule'!$G$45))*'WBS Schedule'!$P$45</f>
        <v>0.64</v>
      </c>
      <c r="O101" s="123" t="n">
        <f aca="false">IF($C$18&lt;'WBS Schedule'!$H$45,0,MIN(1,NETWORKDAYS('WBS Schedule'!$H$45,$C$18,Holidays)/'WBS Schedule'!$G$45))*'WBS Schedule'!$P$45</f>
        <v>1.92</v>
      </c>
      <c r="P101" s="123" t="n">
        <f aca="false">IF($C$19&lt;'WBS Schedule'!$H$45,0,MIN(1,NETWORKDAYS('WBS Schedule'!$H$45,$C$19,Holidays)/'WBS Schedule'!$G$45))*'WBS Schedule'!$P$45</f>
        <v>1.92</v>
      </c>
      <c r="Q101" s="123" t="n">
        <f aca="false">IF($C$20&lt;'WBS Schedule'!$H$45,0,MIN(1,NETWORKDAYS('WBS Schedule'!$H$45,$C$20,Holidays)/'WBS Schedule'!$G$45))*'WBS Schedule'!$P$45</f>
        <v>1.92</v>
      </c>
      <c r="R101" s="123" t="n">
        <f aca="false">IF($C$21&lt;'WBS Schedule'!$H$45,0,MIN(1,NETWORKDAYS('WBS Schedule'!$H$45,$C$21,Holidays)/'WBS Schedule'!$G$45))*'WBS Schedule'!$P$45</f>
        <v>1.92</v>
      </c>
      <c r="S101" s="123" t="n">
        <f aca="false">IF($C$22&lt;'WBS Schedule'!$H$45,0,MIN(1,NETWORKDAYS('WBS Schedule'!$H$45,$C$22,Holidays)/'WBS Schedule'!$G$45))*'WBS Schedule'!$P$45</f>
        <v>1.92</v>
      </c>
      <c r="T101" s="123" t="n">
        <f aca="false">IF($C$23&lt;'WBS Schedule'!$H$45,0,MIN(1,NETWORKDAYS('WBS Schedule'!$H$45,$C$23,Holidays)/'WBS Schedule'!$G$45))*'WBS Schedule'!$P$45</f>
        <v>1.92</v>
      </c>
      <c r="U101" s="123" t="n">
        <f aca="false">IF($C$24&lt;'WBS Schedule'!$H$45,0,MIN(1,NETWORKDAYS('WBS Schedule'!$H$45,$C$24,Holidays)/'WBS Schedule'!$G$45))*'WBS Schedule'!$P$45</f>
        <v>1.92</v>
      </c>
      <c r="V101" s="123" t="n">
        <f aca="false">IF($C$25&lt;'WBS Schedule'!$H$45,0,MIN(1,NETWORKDAYS('WBS Schedule'!$H$45,$C$25,Holidays)/'WBS Schedule'!$G$45))*'WBS Schedule'!$P$45</f>
        <v>1.92</v>
      </c>
    </row>
    <row r="102" customFormat="false" ht="15" hidden="false" customHeight="false" outlineLevel="0" collapsed="false">
      <c r="A102" s="0" t="str">
        <f aca="false">'WBS Schedule'!A46</f>
        <v>4.2</v>
      </c>
      <c r="B102" s="123" t="n">
        <f aca="false">IF($C$5&lt;'WBS Schedule'!$H$46,0,MIN(1,NETWORKDAYS('WBS Schedule'!$H$46,$C$5,Holidays)/'WBS Schedule'!$G$46))*'WBS Schedule'!$P$46</f>
        <v>0</v>
      </c>
      <c r="C102" s="123" t="n">
        <f aca="false">IF($C$6&lt;'WBS Schedule'!$H$46,0,MIN(1,NETWORKDAYS('WBS Schedule'!$H$46,$C$6,Holidays)/'WBS Schedule'!$G$46))*'WBS Schedule'!$P$46</f>
        <v>0</v>
      </c>
      <c r="D102" s="123" t="n">
        <f aca="false">IF($C$7&lt;'WBS Schedule'!$H$46,0,MIN(1,NETWORKDAYS('WBS Schedule'!$H$46,$C$7,Holidays)/'WBS Schedule'!$G$46))*'WBS Schedule'!$P$46</f>
        <v>0</v>
      </c>
      <c r="E102" s="123" t="n">
        <f aca="false">IF($C$8&lt;'WBS Schedule'!$H$46,0,MIN(1,NETWORKDAYS('WBS Schedule'!$H$46,$C$8,Holidays)/'WBS Schedule'!$G$46))*'WBS Schedule'!$P$46</f>
        <v>0</v>
      </c>
      <c r="F102" s="123" t="n">
        <f aca="false">IF($C$9&lt;'WBS Schedule'!$H$46,0,MIN(1,NETWORKDAYS('WBS Schedule'!$H$46,$C$9,Holidays)/'WBS Schedule'!$G$46))*'WBS Schedule'!$P$46</f>
        <v>0</v>
      </c>
      <c r="G102" s="123" t="n">
        <f aca="false">IF($C$10&lt;'WBS Schedule'!$H$46,0,MIN(1,NETWORKDAYS('WBS Schedule'!$H$46,$C$10,Holidays)/'WBS Schedule'!$G$46))*'WBS Schedule'!$P$46</f>
        <v>0</v>
      </c>
      <c r="H102" s="123" t="n">
        <f aca="false">IF($C$11&lt;'WBS Schedule'!$H$46,0,MIN(1,NETWORKDAYS('WBS Schedule'!$H$46,$C$11,Holidays)/'WBS Schedule'!$G$46))*'WBS Schedule'!$P$46</f>
        <v>0</v>
      </c>
      <c r="I102" s="123" t="n">
        <f aca="false">IF($C$12&lt;'WBS Schedule'!$H$46,0,MIN(1,NETWORKDAYS('WBS Schedule'!$H$46,$C$12,Holidays)/'WBS Schedule'!$G$46))*'WBS Schedule'!$P$46</f>
        <v>0</v>
      </c>
      <c r="J102" s="123" t="n">
        <f aca="false">IF($C$13&lt;'WBS Schedule'!$H$46,0,MIN(1,NETWORKDAYS('WBS Schedule'!$H$46,$C$13,Holidays)/'WBS Schedule'!$G$46))*'WBS Schedule'!$P$46</f>
        <v>0</v>
      </c>
      <c r="K102" s="123" t="n">
        <f aca="false">IF($C$14&lt;'WBS Schedule'!$H$46,0,MIN(1,NETWORKDAYS('WBS Schedule'!$H$46,$C$14,Holidays)/'WBS Schedule'!$G$46))*'WBS Schedule'!$P$46</f>
        <v>0</v>
      </c>
      <c r="L102" s="123" t="n">
        <f aca="false">IF($C$15&lt;'WBS Schedule'!$H$46,0,MIN(1,NETWORKDAYS('WBS Schedule'!$H$46,$C$15,Holidays)/'WBS Schedule'!$G$46))*'WBS Schedule'!$P$46</f>
        <v>0</v>
      </c>
      <c r="M102" s="123" t="n">
        <f aca="false">IF($C$16&lt;'WBS Schedule'!$H$46,0,MIN(1,NETWORKDAYS('WBS Schedule'!$H$46,$C$16,Holidays)/'WBS Schedule'!$G$46))*'WBS Schedule'!$P$46</f>
        <v>0</v>
      </c>
      <c r="N102" s="123" t="n">
        <f aca="false">IF($C$17&lt;'WBS Schedule'!$H$46,0,MIN(1,NETWORKDAYS('WBS Schedule'!$H$46,$C$17,Holidays)/'WBS Schedule'!$G$46))*'WBS Schedule'!$P$46</f>
        <v>0.32</v>
      </c>
      <c r="O102" s="123" t="n">
        <f aca="false">IF($C$18&lt;'WBS Schedule'!$H$46,0,MIN(1,NETWORKDAYS('WBS Schedule'!$H$46,$C$18,Holidays)/'WBS Schedule'!$G$46))*'WBS Schedule'!$P$46</f>
        <v>0.64</v>
      </c>
      <c r="P102" s="123" t="n">
        <f aca="false">IF($C$19&lt;'WBS Schedule'!$H$46,0,MIN(1,NETWORKDAYS('WBS Schedule'!$H$46,$C$19,Holidays)/'WBS Schedule'!$G$46))*'WBS Schedule'!$P$46</f>
        <v>0.64</v>
      </c>
      <c r="Q102" s="123" t="n">
        <f aca="false">IF($C$20&lt;'WBS Schedule'!$H$46,0,MIN(1,NETWORKDAYS('WBS Schedule'!$H$46,$C$20,Holidays)/'WBS Schedule'!$G$46))*'WBS Schedule'!$P$46</f>
        <v>0.64</v>
      </c>
      <c r="R102" s="123" t="n">
        <f aca="false">IF($C$21&lt;'WBS Schedule'!$H$46,0,MIN(1,NETWORKDAYS('WBS Schedule'!$H$46,$C$21,Holidays)/'WBS Schedule'!$G$46))*'WBS Schedule'!$P$46</f>
        <v>0.64</v>
      </c>
      <c r="S102" s="123" t="n">
        <f aca="false">IF($C$22&lt;'WBS Schedule'!$H$46,0,MIN(1,NETWORKDAYS('WBS Schedule'!$H$46,$C$22,Holidays)/'WBS Schedule'!$G$46))*'WBS Schedule'!$P$46</f>
        <v>0.64</v>
      </c>
      <c r="T102" s="123" t="n">
        <f aca="false">IF($C$23&lt;'WBS Schedule'!$H$46,0,MIN(1,NETWORKDAYS('WBS Schedule'!$H$46,$C$23,Holidays)/'WBS Schedule'!$G$46))*'WBS Schedule'!$P$46</f>
        <v>0.64</v>
      </c>
      <c r="U102" s="123" t="n">
        <f aca="false">IF($C$24&lt;'WBS Schedule'!$H$46,0,MIN(1,NETWORKDAYS('WBS Schedule'!$H$46,$C$24,Holidays)/'WBS Schedule'!$G$46))*'WBS Schedule'!$P$46</f>
        <v>0.64</v>
      </c>
      <c r="V102" s="123" t="n">
        <f aca="false">IF($C$25&lt;'WBS Schedule'!$H$46,0,MIN(1,NETWORKDAYS('WBS Schedule'!$H$46,$C$25,Holidays)/'WBS Schedule'!$G$46))*'WBS Schedule'!$P$46</f>
        <v>0.64</v>
      </c>
    </row>
    <row r="103" customFormat="false" ht="15" hidden="false" customHeight="false" outlineLevel="0" collapsed="false">
      <c r="A103" s="0" t="str">
        <f aca="false">'WBS Schedule'!A47</f>
        <v>4.3</v>
      </c>
      <c r="B103" s="123" t="n">
        <f aca="false">IF($C$5&lt;'WBS Schedule'!$H$47,0,MIN(1,NETWORKDAYS('WBS Schedule'!$H$47,$C$5,Holidays)/'WBS Schedule'!$G$47))*'WBS Schedule'!$P$47</f>
        <v>0</v>
      </c>
      <c r="C103" s="123" t="n">
        <f aca="false">IF($C$6&lt;'WBS Schedule'!$H$47,0,MIN(1,NETWORKDAYS('WBS Schedule'!$H$47,$C$6,Holidays)/'WBS Schedule'!$G$47))*'WBS Schedule'!$P$47</f>
        <v>0</v>
      </c>
      <c r="D103" s="123" t="n">
        <f aca="false">IF($C$7&lt;'WBS Schedule'!$H$47,0,MIN(1,NETWORKDAYS('WBS Schedule'!$H$47,$C$7,Holidays)/'WBS Schedule'!$G$47))*'WBS Schedule'!$P$47</f>
        <v>0</v>
      </c>
      <c r="E103" s="123" t="n">
        <f aca="false">IF($C$8&lt;'WBS Schedule'!$H$47,0,MIN(1,NETWORKDAYS('WBS Schedule'!$H$47,$C$8,Holidays)/'WBS Schedule'!$G$47))*'WBS Schedule'!$P$47</f>
        <v>0</v>
      </c>
      <c r="F103" s="123" t="n">
        <f aca="false">IF($C$9&lt;'WBS Schedule'!$H$47,0,MIN(1,NETWORKDAYS('WBS Schedule'!$H$47,$C$9,Holidays)/'WBS Schedule'!$G$47))*'WBS Schedule'!$P$47</f>
        <v>0</v>
      </c>
      <c r="G103" s="123" t="n">
        <f aca="false">IF($C$10&lt;'WBS Schedule'!$H$47,0,MIN(1,NETWORKDAYS('WBS Schedule'!$H$47,$C$10,Holidays)/'WBS Schedule'!$G$47))*'WBS Schedule'!$P$47</f>
        <v>0</v>
      </c>
      <c r="H103" s="123" t="n">
        <f aca="false">IF($C$11&lt;'WBS Schedule'!$H$47,0,MIN(1,NETWORKDAYS('WBS Schedule'!$H$47,$C$11,Holidays)/'WBS Schedule'!$G$47))*'WBS Schedule'!$P$47</f>
        <v>0</v>
      </c>
      <c r="I103" s="123" t="n">
        <f aca="false">IF($C$12&lt;'WBS Schedule'!$H$47,0,MIN(1,NETWORKDAYS('WBS Schedule'!$H$47,$C$12,Holidays)/'WBS Schedule'!$G$47))*'WBS Schedule'!$P$47</f>
        <v>0</v>
      </c>
      <c r="J103" s="123" t="n">
        <f aca="false">IF($C$13&lt;'WBS Schedule'!$H$47,0,MIN(1,NETWORKDAYS('WBS Schedule'!$H$47,$C$13,Holidays)/'WBS Schedule'!$G$47))*'WBS Schedule'!$P$47</f>
        <v>0</v>
      </c>
      <c r="K103" s="123" t="n">
        <f aca="false">IF($C$14&lt;'WBS Schedule'!$H$47,0,MIN(1,NETWORKDAYS('WBS Schedule'!$H$47,$C$14,Holidays)/'WBS Schedule'!$G$47))*'WBS Schedule'!$P$47</f>
        <v>0</v>
      </c>
      <c r="L103" s="123" t="n">
        <f aca="false">IF($C$15&lt;'WBS Schedule'!$H$47,0,MIN(1,NETWORKDAYS('WBS Schedule'!$H$47,$C$15,Holidays)/'WBS Schedule'!$G$47))*'WBS Schedule'!$P$47</f>
        <v>0</v>
      </c>
      <c r="M103" s="123" t="n">
        <f aca="false">IF($C$16&lt;'WBS Schedule'!$H$47,0,MIN(1,NETWORKDAYS('WBS Schedule'!$H$47,$C$16,Holidays)/'WBS Schedule'!$G$47))*'WBS Schedule'!$P$47</f>
        <v>0</v>
      </c>
      <c r="N103" s="123" t="n">
        <f aca="false">IF($C$17&lt;'WBS Schedule'!$H$47,0,MIN(1,NETWORKDAYS('WBS Schedule'!$H$47,$C$17,Holidays)/'WBS Schedule'!$G$47))*'WBS Schedule'!$P$47</f>
        <v>0</v>
      </c>
      <c r="O103" s="123" t="n">
        <f aca="false">IF($C$18&lt;'WBS Schedule'!$H$47,0,MIN(1,NETWORKDAYS('WBS Schedule'!$H$47,$C$18,Holidays)/'WBS Schedule'!$G$47))*'WBS Schedule'!$P$47</f>
        <v>1.92</v>
      </c>
      <c r="P103" s="123" t="n">
        <f aca="false">IF($C$19&lt;'WBS Schedule'!$H$47,0,MIN(1,NETWORKDAYS('WBS Schedule'!$H$47,$C$19,Holidays)/'WBS Schedule'!$G$47))*'WBS Schedule'!$P$47</f>
        <v>2.56</v>
      </c>
      <c r="Q103" s="123" t="n">
        <f aca="false">IF($C$20&lt;'WBS Schedule'!$H$47,0,MIN(1,NETWORKDAYS('WBS Schedule'!$H$47,$C$20,Holidays)/'WBS Schedule'!$G$47))*'WBS Schedule'!$P$47</f>
        <v>2.56</v>
      </c>
      <c r="R103" s="123" t="n">
        <f aca="false">IF($C$21&lt;'WBS Schedule'!$H$47,0,MIN(1,NETWORKDAYS('WBS Schedule'!$H$47,$C$21,Holidays)/'WBS Schedule'!$G$47))*'WBS Schedule'!$P$47</f>
        <v>2.56</v>
      </c>
      <c r="S103" s="123" t="n">
        <f aca="false">IF($C$22&lt;'WBS Schedule'!$H$47,0,MIN(1,NETWORKDAYS('WBS Schedule'!$H$47,$C$22,Holidays)/'WBS Schedule'!$G$47))*'WBS Schedule'!$P$47</f>
        <v>2.56</v>
      </c>
      <c r="T103" s="123" t="n">
        <f aca="false">IF($C$23&lt;'WBS Schedule'!$H$47,0,MIN(1,NETWORKDAYS('WBS Schedule'!$H$47,$C$23,Holidays)/'WBS Schedule'!$G$47))*'WBS Schedule'!$P$47</f>
        <v>2.56</v>
      </c>
      <c r="U103" s="123" t="n">
        <f aca="false">IF($C$24&lt;'WBS Schedule'!$H$47,0,MIN(1,NETWORKDAYS('WBS Schedule'!$H$47,$C$24,Holidays)/'WBS Schedule'!$G$47))*'WBS Schedule'!$P$47</f>
        <v>2.56</v>
      </c>
      <c r="V103" s="123" t="n">
        <f aca="false">IF($C$25&lt;'WBS Schedule'!$H$47,0,MIN(1,NETWORKDAYS('WBS Schedule'!$H$47,$C$25,Holidays)/'WBS Schedule'!$G$47))*'WBS Schedule'!$P$47</f>
        <v>2.56</v>
      </c>
    </row>
    <row r="104" customFormat="false" ht="15" hidden="false" customHeight="false" outlineLevel="0" collapsed="false">
      <c r="A104" s="0" t="str">
        <f aca="false">'WBS Schedule'!A48</f>
        <v>4.4</v>
      </c>
      <c r="B104" s="123" t="n">
        <f aca="false">IF($C$5&lt;'WBS Schedule'!$H$48,0,MIN(1,NETWORKDAYS('WBS Schedule'!$H$48,$C$5,Holidays)/'WBS Schedule'!$G$48))*'WBS Schedule'!$P$48</f>
        <v>0</v>
      </c>
      <c r="C104" s="123" t="n">
        <f aca="false">IF($C$6&lt;'WBS Schedule'!$H$48,0,MIN(1,NETWORKDAYS('WBS Schedule'!$H$48,$C$6,Holidays)/'WBS Schedule'!$G$48))*'WBS Schedule'!$P$48</f>
        <v>0</v>
      </c>
      <c r="D104" s="123" t="n">
        <f aca="false">IF($C$7&lt;'WBS Schedule'!$H$48,0,MIN(1,NETWORKDAYS('WBS Schedule'!$H$48,$C$7,Holidays)/'WBS Schedule'!$G$48))*'WBS Schedule'!$P$48</f>
        <v>0</v>
      </c>
      <c r="E104" s="123" t="n">
        <f aca="false">IF($C$8&lt;'WBS Schedule'!$H$48,0,MIN(1,NETWORKDAYS('WBS Schedule'!$H$48,$C$8,Holidays)/'WBS Schedule'!$G$48))*'WBS Schedule'!$P$48</f>
        <v>0</v>
      </c>
      <c r="F104" s="123" t="n">
        <f aca="false">IF($C$9&lt;'WBS Schedule'!$H$48,0,MIN(1,NETWORKDAYS('WBS Schedule'!$H$48,$C$9,Holidays)/'WBS Schedule'!$G$48))*'WBS Schedule'!$P$48</f>
        <v>0</v>
      </c>
      <c r="G104" s="123" t="n">
        <f aca="false">IF($C$10&lt;'WBS Schedule'!$H$48,0,MIN(1,NETWORKDAYS('WBS Schedule'!$H$48,$C$10,Holidays)/'WBS Schedule'!$G$48))*'WBS Schedule'!$P$48</f>
        <v>0</v>
      </c>
      <c r="H104" s="123" t="n">
        <f aca="false">IF($C$11&lt;'WBS Schedule'!$H$48,0,MIN(1,NETWORKDAYS('WBS Schedule'!$H$48,$C$11,Holidays)/'WBS Schedule'!$G$48))*'WBS Schedule'!$P$48</f>
        <v>0</v>
      </c>
      <c r="I104" s="123" t="n">
        <f aca="false">IF($C$12&lt;'WBS Schedule'!$H$48,0,MIN(1,NETWORKDAYS('WBS Schedule'!$H$48,$C$12,Holidays)/'WBS Schedule'!$G$48))*'WBS Schedule'!$P$48</f>
        <v>0</v>
      </c>
      <c r="J104" s="123" t="n">
        <f aca="false">IF($C$13&lt;'WBS Schedule'!$H$48,0,MIN(1,NETWORKDAYS('WBS Schedule'!$H$48,$C$13,Holidays)/'WBS Schedule'!$G$48))*'WBS Schedule'!$P$48</f>
        <v>0</v>
      </c>
      <c r="K104" s="123" t="n">
        <f aca="false">IF($C$14&lt;'WBS Schedule'!$H$48,0,MIN(1,NETWORKDAYS('WBS Schedule'!$H$48,$C$14,Holidays)/'WBS Schedule'!$G$48))*'WBS Schedule'!$P$48</f>
        <v>0</v>
      </c>
      <c r="L104" s="123" t="n">
        <f aca="false">IF($C$15&lt;'WBS Schedule'!$H$48,0,MIN(1,NETWORKDAYS('WBS Schedule'!$H$48,$C$15,Holidays)/'WBS Schedule'!$G$48))*'WBS Schedule'!$P$48</f>
        <v>0</v>
      </c>
      <c r="M104" s="123" t="n">
        <f aca="false">IF($C$16&lt;'WBS Schedule'!$H$48,0,MIN(1,NETWORKDAYS('WBS Schedule'!$H$48,$C$16,Holidays)/'WBS Schedule'!$G$48))*'WBS Schedule'!$P$48</f>
        <v>0</v>
      </c>
      <c r="N104" s="123" t="n">
        <f aca="false">IF($C$17&lt;'WBS Schedule'!$H$48,0,MIN(1,NETWORKDAYS('WBS Schedule'!$H$48,$C$17,Holidays)/'WBS Schedule'!$G$48))*'WBS Schedule'!$P$48</f>
        <v>0</v>
      </c>
      <c r="O104" s="123" t="n">
        <f aca="false">IF($C$18&lt;'WBS Schedule'!$H$48,0,MIN(1,NETWORKDAYS('WBS Schedule'!$H$48,$C$18,Holidays)/'WBS Schedule'!$G$48))*'WBS Schedule'!$P$48</f>
        <v>0</v>
      </c>
      <c r="P104" s="123" t="n">
        <f aca="false">IF($C$19&lt;'WBS Schedule'!$H$48,0,MIN(1,NETWORKDAYS('WBS Schedule'!$H$48,$C$19,Holidays)/'WBS Schedule'!$G$48))*'WBS Schedule'!$P$48</f>
        <v>1.92</v>
      </c>
      <c r="Q104" s="123" t="n">
        <f aca="false">IF($C$20&lt;'WBS Schedule'!$H$48,0,MIN(1,NETWORKDAYS('WBS Schedule'!$H$48,$C$20,Holidays)/'WBS Schedule'!$G$48))*'WBS Schedule'!$P$48</f>
        <v>1.92</v>
      </c>
      <c r="R104" s="123" t="n">
        <f aca="false">IF($C$21&lt;'WBS Schedule'!$H$48,0,MIN(1,NETWORKDAYS('WBS Schedule'!$H$48,$C$21,Holidays)/'WBS Schedule'!$G$48))*'WBS Schedule'!$P$48</f>
        <v>1.92</v>
      </c>
      <c r="S104" s="123" t="n">
        <f aca="false">IF($C$22&lt;'WBS Schedule'!$H$48,0,MIN(1,NETWORKDAYS('WBS Schedule'!$H$48,$C$22,Holidays)/'WBS Schedule'!$G$48))*'WBS Schedule'!$P$48</f>
        <v>1.92</v>
      </c>
      <c r="T104" s="123" t="n">
        <f aca="false">IF($C$23&lt;'WBS Schedule'!$H$48,0,MIN(1,NETWORKDAYS('WBS Schedule'!$H$48,$C$23,Holidays)/'WBS Schedule'!$G$48))*'WBS Schedule'!$P$48</f>
        <v>1.92</v>
      </c>
      <c r="U104" s="123" t="n">
        <f aca="false">IF($C$24&lt;'WBS Schedule'!$H$48,0,MIN(1,NETWORKDAYS('WBS Schedule'!$H$48,$C$24,Holidays)/'WBS Schedule'!$G$48))*'WBS Schedule'!$P$48</f>
        <v>1.92</v>
      </c>
      <c r="V104" s="123" t="n">
        <f aca="false">IF($C$25&lt;'WBS Schedule'!$H$48,0,MIN(1,NETWORKDAYS('WBS Schedule'!$H$48,$C$25,Holidays)/'WBS Schedule'!$G$48))*'WBS Schedule'!$P$48</f>
        <v>1.92</v>
      </c>
    </row>
    <row r="105" customFormat="false" ht="15" hidden="false" customHeight="false" outlineLevel="0" collapsed="false">
      <c r="A105" s="0" t="str">
        <f aca="false">'WBS Schedule'!A49</f>
        <v>4.5</v>
      </c>
      <c r="B105" s="123" t="n">
        <f aca="false">IF($C$5&lt;'WBS Schedule'!$H$49,0,MIN(1,NETWORKDAYS('WBS Schedule'!$H$49,$C$5,Holidays)/'WBS Schedule'!$G$49))*'WBS Schedule'!$P$49</f>
        <v>0</v>
      </c>
      <c r="C105" s="123" t="n">
        <f aca="false">IF($C$6&lt;'WBS Schedule'!$H$49,0,MIN(1,NETWORKDAYS('WBS Schedule'!$H$49,$C$6,Holidays)/'WBS Schedule'!$G$49))*'WBS Schedule'!$P$49</f>
        <v>0</v>
      </c>
      <c r="D105" s="123" t="n">
        <f aca="false">IF($C$7&lt;'WBS Schedule'!$H$49,0,MIN(1,NETWORKDAYS('WBS Schedule'!$H$49,$C$7,Holidays)/'WBS Schedule'!$G$49))*'WBS Schedule'!$P$49</f>
        <v>0</v>
      </c>
      <c r="E105" s="123" t="n">
        <f aca="false">IF($C$8&lt;'WBS Schedule'!$H$49,0,MIN(1,NETWORKDAYS('WBS Schedule'!$H$49,$C$8,Holidays)/'WBS Schedule'!$G$49))*'WBS Schedule'!$P$49</f>
        <v>0</v>
      </c>
      <c r="F105" s="123" t="n">
        <f aca="false">IF($C$9&lt;'WBS Schedule'!$H$49,0,MIN(1,NETWORKDAYS('WBS Schedule'!$H$49,$C$9,Holidays)/'WBS Schedule'!$G$49))*'WBS Schedule'!$P$49</f>
        <v>0</v>
      </c>
      <c r="G105" s="123" t="n">
        <f aca="false">IF($C$10&lt;'WBS Schedule'!$H$49,0,MIN(1,NETWORKDAYS('WBS Schedule'!$H$49,$C$10,Holidays)/'WBS Schedule'!$G$49))*'WBS Schedule'!$P$49</f>
        <v>0</v>
      </c>
      <c r="H105" s="123" t="n">
        <f aca="false">IF($C$11&lt;'WBS Schedule'!$H$49,0,MIN(1,NETWORKDAYS('WBS Schedule'!$H$49,$C$11,Holidays)/'WBS Schedule'!$G$49))*'WBS Schedule'!$P$49</f>
        <v>0</v>
      </c>
      <c r="I105" s="123" t="n">
        <f aca="false">IF($C$12&lt;'WBS Schedule'!$H$49,0,MIN(1,NETWORKDAYS('WBS Schedule'!$H$49,$C$12,Holidays)/'WBS Schedule'!$G$49))*'WBS Schedule'!$P$49</f>
        <v>0</v>
      </c>
      <c r="J105" s="123" t="n">
        <f aca="false">IF($C$13&lt;'WBS Schedule'!$H$49,0,MIN(1,NETWORKDAYS('WBS Schedule'!$H$49,$C$13,Holidays)/'WBS Schedule'!$G$49))*'WBS Schedule'!$P$49</f>
        <v>0</v>
      </c>
      <c r="K105" s="123" t="n">
        <f aca="false">IF($C$14&lt;'WBS Schedule'!$H$49,0,MIN(1,NETWORKDAYS('WBS Schedule'!$H$49,$C$14,Holidays)/'WBS Schedule'!$G$49))*'WBS Schedule'!$P$49</f>
        <v>0</v>
      </c>
      <c r="L105" s="123" t="n">
        <f aca="false">IF($C$15&lt;'WBS Schedule'!$H$49,0,MIN(1,NETWORKDAYS('WBS Schedule'!$H$49,$C$15,Holidays)/'WBS Schedule'!$G$49))*'WBS Schedule'!$P$49</f>
        <v>0</v>
      </c>
      <c r="M105" s="123" t="n">
        <f aca="false">IF($C$16&lt;'WBS Schedule'!$H$49,0,MIN(1,NETWORKDAYS('WBS Schedule'!$H$49,$C$16,Holidays)/'WBS Schedule'!$G$49))*'WBS Schedule'!$P$49</f>
        <v>0</v>
      </c>
      <c r="N105" s="123" t="n">
        <f aca="false">IF($C$17&lt;'WBS Schedule'!$H$49,0,MIN(1,NETWORKDAYS('WBS Schedule'!$H$49,$C$17,Holidays)/'WBS Schedule'!$G$49))*'WBS Schedule'!$P$49</f>
        <v>0.96</v>
      </c>
      <c r="O105" s="123" t="n">
        <f aca="false">IF($C$18&lt;'WBS Schedule'!$H$49,0,MIN(1,NETWORKDAYS('WBS Schedule'!$H$49,$C$18,Holidays)/'WBS Schedule'!$G$49))*'WBS Schedule'!$P$49</f>
        <v>3.84</v>
      </c>
      <c r="P105" s="123" t="n">
        <f aca="false">IF($C$19&lt;'WBS Schedule'!$H$49,0,MIN(1,NETWORKDAYS('WBS Schedule'!$H$49,$C$19,Holidays)/'WBS Schedule'!$G$49))*'WBS Schedule'!$P$49</f>
        <v>3.84</v>
      </c>
      <c r="Q105" s="123" t="n">
        <f aca="false">IF($C$20&lt;'WBS Schedule'!$H$49,0,MIN(1,NETWORKDAYS('WBS Schedule'!$H$49,$C$20,Holidays)/'WBS Schedule'!$G$49))*'WBS Schedule'!$P$49</f>
        <v>3.84</v>
      </c>
      <c r="R105" s="123" t="n">
        <f aca="false">IF($C$21&lt;'WBS Schedule'!$H$49,0,MIN(1,NETWORKDAYS('WBS Schedule'!$H$49,$C$21,Holidays)/'WBS Schedule'!$G$49))*'WBS Schedule'!$P$49</f>
        <v>3.84</v>
      </c>
      <c r="S105" s="123" t="n">
        <f aca="false">IF($C$22&lt;'WBS Schedule'!$H$49,0,MIN(1,NETWORKDAYS('WBS Schedule'!$H$49,$C$22,Holidays)/'WBS Schedule'!$G$49))*'WBS Schedule'!$P$49</f>
        <v>3.84</v>
      </c>
      <c r="T105" s="123" t="n">
        <f aca="false">IF($C$23&lt;'WBS Schedule'!$H$49,0,MIN(1,NETWORKDAYS('WBS Schedule'!$H$49,$C$23,Holidays)/'WBS Schedule'!$G$49))*'WBS Schedule'!$P$49</f>
        <v>3.84</v>
      </c>
      <c r="U105" s="123" t="n">
        <f aca="false">IF($C$24&lt;'WBS Schedule'!$H$49,0,MIN(1,NETWORKDAYS('WBS Schedule'!$H$49,$C$24,Holidays)/'WBS Schedule'!$G$49))*'WBS Schedule'!$P$49</f>
        <v>3.84</v>
      </c>
      <c r="V105" s="123" t="n">
        <f aca="false">IF($C$25&lt;'WBS Schedule'!$H$49,0,MIN(1,NETWORKDAYS('WBS Schedule'!$H$49,$C$25,Holidays)/'WBS Schedule'!$G$49))*'WBS Schedule'!$P$49</f>
        <v>3.84</v>
      </c>
    </row>
    <row r="106" customFormat="false" ht="15" hidden="false" customHeight="false" outlineLevel="0" collapsed="false">
      <c r="A106" s="0" t="str">
        <f aca="false">'WBS Schedule'!A50</f>
        <v>4.6</v>
      </c>
      <c r="B106" s="123" t="n">
        <f aca="false">IF($C$5&lt;'WBS Schedule'!$H$50,0,MIN(1,NETWORKDAYS('WBS Schedule'!$H$50,$C$5,Holidays)/'WBS Schedule'!$G$50))*'WBS Schedule'!$P$50</f>
        <v>0</v>
      </c>
      <c r="C106" s="123" t="n">
        <f aca="false">IF($C$6&lt;'WBS Schedule'!$H$50,0,MIN(1,NETWORKDAYS('WBS Schedule'!$H$50,$C$6,Holidays)/'WBS Schedule'!$G$50))*'WBS Schedule'!$P$50</f>
        <v>0</v>
      </c>
      <c r="D106" s="123" t="n">
        <f aca="false">IF($C$7&lt;'WBS Schedule'!$H$50,0,MIN(1,NETWORKDAYS('WBS Schedule'!$H$50,$C$7,Holidays)/'WBS Schedule'!$G$50))*'WBS Schedule'!$P$50</f>
        <v>0</v>
      </c>
      <c r="E106" s="123" t="n">
        <f aca="false">IF($C$8&lt;'WBS Schedule'!$H$50,0,MIN(1,NETWORKDAYS('WBS Schedule'!$H$50,$C$8,Holidays)/'WBS Schedule'!$G$50))*'WBS Schedule'!$P$50</f>
        <v>0</v>
      </c>
      <c r="F106" s="123" t="n">
        <f aca="false">IF($C$9&lt;'WBS Schedule'!$H$50,0,MIN(1,NETWORKDAYS('WBS Schedule'!$H$50,$C$9,Holidays)/'WBS Schedule'!$G$50))*'WBS Schedule'!$P$50</f>
        <v>0</v>
      </c>
      <c r="G106" s="123" t="n">
        <f aca="false">IF($C$10&lt;'WBS Schedule'!$H$50,0,MIN(1,NETWORKDAYS('WBS Schedule'!$H$50,$C$10,Holidays)/'WBS Schedule'!$G$50))*'WBS Schedule'!$P$50</f>
        <v>0</v>
      </c>
      <c r="H106" s="123" t="n">
        <f aca="false">IF($C$11&lt;'WBS Schedule'!$H$50,0,MIN(1,NETWORKDAYS('WBS Schedule'!$H$50,$C$11,Holidays)/'WBS Schedule'!$G$50))*'WBS Schedule'!$P$50</f>
        <v>0</v>
      </c>
      <c r="I106" s="123" t="n">
        <f aca="false">IF($C$12&lt;'WBS Schedule'!$H$50,0,MIN(1,NETWORKDAYS('WBS Schedule'!$H$50,$C$12,Holidays)/'WBS Schedule'!$G$50))*'WBS Schedule'!$P$50</f>
        <v>0</v>
      </c>
      <c r="J106" s="123" t="n">
        <f aca="false">IF($C$13&lt;'WBS Schedule'!$H$50,0,MIN(1,NETWORKDAYS('WBS Schedule'!$H$50,$C$13,Holidays)/'WBS Schedule'!$G$50))*'WBS Schedule'!$P$50</f>
        <v>0</v>
      </c>
      <c r="K106" s="123" t="n">
        <f aca="false">IF($C$14&lt;'WBS Schedule'!$H$50,0,MIN(1,NETWORKDAYS('WBS Schedule'!$H$50,$C$14,Holidays)/'WBS Schedule'!$G$50))*'WBS Schedule'!$P$50</f>
        <v>0</v>
      </c>
      <c r="L106" s="123" t="n">
        <f aca="false">IF($C$15&lt;'WBS Schedule'!$H$50,0,MIN(1,NETWORKDAYS('WBS Schedule'!$H$50,$C$15,Holidays)/'WBS Schedule'!$G$50))*'WBS Schedule'!$P$50</f>
        <v>0</v>
      </c>
      <c r="M106" s="123" t="n">
        <f aca="false">IF($C$16&lt;'WBS Schedule'!$H$50,0,MIN(1,NETWORKDAYS('WBS Schedule'!$H$50,$C$16,Holidays)/'WBS Schedule'!$G$50))*'WBS Schedule'!$P$50</f>
        <v>0</v>
      </c>
      <c r="N106" s="123" t="n">
        <f aca="false">IF($C$17&lt;'WBS Schedule'!$H$50,0,MIN(1,NETWORKDAYS('WBS Schedule'!$H$50,$C$17,Holidays)/'WBS Schedule'!$G$50))*'WBS Schedule'!$P$50</f>
        <v>0</v>
      </c>
      <c r="O106" s="123" t="n">
        <f aca="false">IF($C$18&lt;'WBS Schedule'!$H$50,0,MIN(1,NETWORKDAYS('WBS Schedule'!$H$50,$C$18,Holidays)/'WBS Schedule'!$G$50))*'WBS Schedule'!$P$50</f>
        <v>1.28</v>
      </c>
      <c r="P106" s="123" t="n">
        <f aca="false">IF($C$19&lt;'WBS Schedule'!$H$50,0,MIN(1,NETWORKDAYS('WBS Schedule'!$H$50,$C$19,Holidays)/'WBS Schedule'!$G$50))*'WBS Schedule'!$P$50</f>
        <v>1.92</v>
      </c>
      <c r="Q106" s="123" t="n">
        <f aca="false">IF($C$20&lt;'WBS Schedule'!$H$50,0,MIN(1,NETWORKDAYS('WBS Schedule'!$H$50,$C$20,Holidays)/'WBS Schedule'!$G$50))*'WBS Schedule'!$P$50</f>
        <v>1.92</v>
      </c>
      <c r="R106" s="123" t="n">
        <f aca="false">IF($C$21&lt;'WBS Schedule'!$H$50,0,MIN(1,NETWORKDAYS('WBS Schedule'!$H$50,$C$21,Holidays)/'WBS Schedule'!$G$50))*'WBS Schedule'!$P$50</f>
        <v>1.92</v>
      </c>
      <c r="S106" s="123" t="n">
        <f aca="false">IF($C$22&lt;'WBS Schedule'!$H$50,0,MIN(1,NETWORKDAYS('WBS Schedule'!$H$50,$C$22,Holidays)/'WBS Schedule'!$G$50))*'WBS Schedule'!$P$50</f>
        <v>1.92</v>
      </c>
      <c r="T106" s="123" t="n">
        <f aca="false">IF($C$23&lt;'WBS Schedule'!$H$50,0,MIN(1,NETWORKDAYS('WBS Schedule'!$H$50,$C$23,Holidays)/'WBS Schedule'!$G$50))*'WBS Schedule'!$P$50</f>
        <v>1.92</v>
      </c>
      <c r="U106" s="123" t="n">
        <f aca="false">IF($C$24&lt;'WBS Schedule'!$H$50,0,MIN(1,NETWORKDAYS('WBS Schedule'!$H$50,$C$24,Holidays)/'WBS Schedule'!$G$50))*'WBS Schedule'!$P$50</f>
        <v>1.92</v>
      </c>
      <c r="V106" s="123" t="n">
        <f aca="false">IF($C$25&lt;'WBS Schedule'!$H$50,0,MIN(1,NETWORKDAYS('WBS Schedule'!$H$50,$C$25,Holidays)/'WBS Schedule'!$G$50))*'WBS Schedule'!$P$50</f>
        <v>1.92</v>
      </c>
    </row>
    <row r="107" customFormat="false" ht="15" hidden="false" customHeight="false" outlineLevel="0" collapsed="false">
      <c r="A107" s="0" t="str">
        <f aca="false">'WBS Schedule'!A51</f>
        <v>4.7</v>
      </c>
      <c r="B107" s="123" t="n">
        <f aca="false">IF($C$5&lt;'WBS Schedule'!$H$51,0,MIN(1,NETWORKDAYS('WBS Schedule'!$H$51,$C$5,Holidays)/'WBS Schedule'!$G$51))*'WBS Schedule'!$P$51</f>
        <v>0</v>
      </c>
      <c r="C107" s="123" t="n">
        <f aca="false">IF($C$6&lt;'WBS Schedule'!$H$51,0,MIN(1,NETWORKDAYS('WBS Schedule'!$H$51,$C$6,Holidays)/'WBS Schedule'!$G$51))*'WBS Schedule'!$P$51</f>
        <v>0</v>
      </c>
      <c r="D107" s="123" t="n">
        <f aca="false">IF($C$7&lt;'WBS Schedule'!$H$51,0,MIN(1,NETWORKDAYS('WBS Schedule'!$H$51,$C$7,Holidays)/'WBS Schedule'!$G$51))*'WBS Schedule'!$P$51</f>
        <v>0</v>
      </c>
      <c r="E107" s="123" t="n">
        <f aca="false">IF($C$8&lt;'WBS Schedule'!$H$51,0,MIN(1,NETWORKDAYS('WBS Schedule'!$H$51,$C$8,Holidays)/'WBS Schedule'!$G$51))*'WBS Schedule'!$P$51</f>
        <v>0</v>
      </c>
      <c r="F107" s="123" t="n">
        <f aca="false">IF($C$9&lt;'WBS Schedule'!$H$51,0,MIN(1,NETWORKDAYS('WBS Schedule'!$H$51,$C$9,Holidays)/'WBS Schedule'!$G$51))*'WBS Schedule'!$P$51</f>
        <v>0</v>
      </c>
      <c r="G107" s="123" t="n">
        <f aca="false">IF($C$10&lt;'WBS Schedule'!$H$51,0,MIN(1,NETWORKDAYS('WBS Schedule'!$H$51,$C$10,Holidays)/'WBS Schedule'!$G$51))*'WBS Schedule'!$P$51</f>
        <v>0</v>
      </c>
      <c r="H107" s="123" t="n">
        <f aca="false">IF($C$11&lt;'WBS Schedule'!$H$51,0,MIN(1,NETWORKDAYS('WBS Schedule'!$H$51,$C$11,Holidays)/'WBS Schedule'!$G$51))*'WBS Schedule'!$P$51</f>
        <v>0</v>
      </c>
      <c r="I107" s="123" t="n">
        <f aca="false">IF($C$12&lt;'WBS Schedule'!$H$51,0,MIN(1,NETWORKDAYS('WBS Schedule'!$H$51,$C$12,Holidays)/'WBS Schedule'!$G$51))*'WBS Schedule'!$P$51</f>
        <v>0</v>
      </c>
      <c r="J107" s="123" t="n">
        <f aca="false">IF($C$13&lt;'WBS Schedule'!$H$51,0,MIN(1,NETWORKDAYS('WBS Schedule'!$H$51,$C$13,Holidays)/'WBS Schedule'!$G$51))*'WBS Schedule'!$P$51</f>
        <v>0</v>
      </c>
      <c r="K107" s="123" t="n">
        <f aca="false">IF($C$14&lt;'WBS Schedule'!$H$51,0,MIN(1,NETWORKDAYS('WBS Schedule'!$H$51,$C$14,Holidays)/'WBS Schedule'!$G$51))*'WBS Schedule'!$P$51</f>
        <v>0</v>
      </c>
      <c r="L107" s="123" t="n">
        <f aca="false">IF($C$15&lt;'WBS Schedule'!$H$51,0,MIN(1,NETWORKDAYS('WBS Schedule'!$H$51,$C$15,Holidays)/'WBS Schedule'!$G$51))*'WBS Schedule'!$P$51</f>
        <v>0</v>
      </c>
      <c r="M107" s="123" t="n">
        <f aca="false">IF($C$16&lt;'WBS Schedule'!$H$51,0,MIN(1,NETWORKDAYS('WBS Schedule'!$H$51,$C$16,Holidays)/'WBS Schedule'!$G$51))*'WBS Schedule'!$P$51</f>
        <v>0</v>
      </c>
      <c r="N107" s="123" t="n">
        <f aca="false">IF($C$17&lt;'WBS Schedule'!$H$51,0,MIN(1,NETWORKDAYS('WBS Schedule'!$H$51,$C$17,Holidays)/'WBS Schedule'!$G$51))*'WBS Schedule'!$P$51</f>
        <v>0</v>
      </c>
      <c r="O107" s="123" t="n">
        <f aca="false">IF($C$18&lt;'WBS Schedule'!$H$51,0,MIN(1,NETWORKDAYS('WBS Schedule'!$H$51,$C$18,Holidays)/'WBS Schedule'!$G$51))*'WBS Schedule'!$P$51</f>
        <v>0</v>
      </c>
      <c r="P107" s="123" t="n">
        <f aca="false">IF($C$19&lt;'WBS Schedule'!$H$51,0,MIN(1,NETWORKDAYS('WBS Schedule'!$H$51,$C$19,Holidays)/'WBS Schedule'!$G$51))*'WBS Schedule'!$P$51</f>
        <v>1.92</v>
      </c>
      <c r="Q107" s="123" t="n">
        <f aca="false">IF($C$20&lt;'WBS Schedule'!$H$51,0,MIN(1,NETWORKDAYS('WBS Schedule'!$H$51,$C$20,Holidays)/'WBS Schedule'!$G$51))*'WBS Schedule'!$P$51</f>
        <v>1.92</v>
      </c>
      <c r="R107" s="123" t="n">
        <f aca="false">IF($C$21&lt;'WBS Schedule'!$H$51,0,MIN(1,NETWORKDAYS('WBS Schedule'!$H$51,$C$21,Holidays)/'WBS Schedule'!$G$51))*'WBS Schedule'!$P$51</f>
        <v>1.92</v>
      </c>
      <c r="S107" s="123" t="n">
        <f aca="false">IF($C$22&lt;'WBS Schedule'!$H$51,0,MIN(1,NETWORKDAYS('WBS Schedule'!$H$51,$C$22,Holidays)/'WBS Schedule'!$G$51))*'WBS Schedule'!$P$51</f>
        <v>1.92</v>
      </c>
      <c r="T107" s="123" t="n">
        <f aca="false">IF($C$23&lt;'WBS Schedule'!$H$51,0,MIN(1,NETWORKDAYS('WBS Schedule'!$H$51,$C$23,Holidays)/'WBS Schedule'!$G$51))*'WBS Schedule'!$P$51</f>
        <v>1.92</v>
      </c>
      <c r="U107" s="123" t="n">
        <f aca="false">IF($C$24&lt;'WBS Schedule'!$H$51,0,MIN(1,NETWORKDAYS('WBS Schedule'!$H$51,$C$24,Holidays)/'WBS Schedule'!$G$51))*'WBS Schedule'!$P$51</f>
        <v>1.92</v>
      </c>
      <c r="V107" s="123" t="n">
        <f aca="false">IF($C$25&lt;'WBS Schedule'!$H$51,0,MIN(1,NETWORKDAYS('WBS Schedule'!$H$51,$C$25,Holidays)/'WBS Schedule'!$G$51))*'WBS Schedule'!$P$51</f>
        <v>1.92</v>
      </c>
    </row>
    <row r="108" customFormat="false" ht="15" hidden="false" customHeight="false" outlineLevel="0" collapsed="false">
      <c r="A108" s="0" t="str">
        <f aca="false">'WBS Schedule'!A52</f>
        <v>4.8</v>
      </c>
      <c r="B108" s="123" t="n">
        <f aca="false">IF($C$5&lt;'WBS Schedule'!$H$52,0,MIN(1,NETWORKDAYS('WBS Schedule'!$H$52,$C$5,Holidays)/'WBS Schedule'!$G$52))*'WBS Schedule'!$P$52</f>
        <v>0</v>
      </c>
      <c r="C108" s="123" t="n">
        <f aca="false">IF($C$6&lt;'WBS Schedule'!$H$52,0,MIN(1,NETWORKDAYS('WBS Schedule'!$H$52,$C$6,Holidays)/'WBS Schedule'!$G$52))*'WBS Schedule'!$P$52</f>
        <v>0</v>
      </c>
      <c r="D108" s="123" t="n">
        <f aca="false">IF($C$7&lt;'WBS Schedule'!$H$52,0,MIN(1,NETWORKDAYS('WBS Schedule'!$H$52,$C$7,Holidays)/'WBS Schedule'!$G$52))*'WBS Schedule'!$P$52</f>
        <v>0</v>
      </c>
      <c r="E108" s="123" t="n">
        <f aca="false">IF($C$8&lt;'WBS Schedule'!$H$52,0,MIN(1,NETWORKDAYS('WBS Schedule'!$H$52,$C$8,Holidays)/'WBS Schedule'!$G$52))*'WBS Schedule'!$P$52</f>
        <v>0</v>
      </c>
      <c r="F108" s="123" t="n">
        <f aca="false">IF($C$9&lt;'WBS Schedule'!$H$52,0,MIN(1,NETWORKDAYS('WBS Schedule'!$H$52,$C$9,Holidays)/'WBS Schedule'!$G$52))*'WBS Schedule'!$P$52</f>
        <v>0</v>
      </c>
      <c r="G108" s="123" t="n">
        <f aca="false">IF($C$10&lt;'WBS Schedule'!$H$52,0,MIN(1,NETWORKDAYS('WBS Schedule'!$H$52,$C$10,Holidays)/'WBS Schedule'!$G$52))*'WBS Schedule'!$P$52</f>
        <v>0</v>
      </c>
      <c r="H108" s="123" t="n">
        <f aca="false">IF($C$11&lt;'WBS Schedule'!$H$52,0,MIN(1,NETWORKDAYS('WBS Schedule'!$H$52,$C$11,Holidays)/'WBS Schedule'!$G$52))*'WBS Schedule'!$P$52</f>
        <v>0</v>
      </c>
      <c r="I108" s="123" t="n">
        <f aca="false">IF($C$12&lt;'WBS Schedule'!$H$52,0,MIN(1,NETWORKDAYS('WBS Schedule'!$H$52,$C$12,Holidays)/'WBS Schedule'!$G$52))*'WBS Schedule'!$P$52</f>
        <v>0</v>
      </c>
      <c r="J108" s="123" t="n">
        <f aca="false">IF($C$13&lt;'WBS Schedule'!$H$52,0,MIN(1,NETWORKDAYS('WBS Schedule'!$H$52,$C$13,Holidays)/'WBS Schedule'!$G$52))*'WBS Schedule'!$P$52</f>
        <v>0</v>
      </c>
      <c r="K108" s="123" t="n">
        <f aca="false">IF($C$14&lt;'WBS Schedule'!$H$52,0,MIN(1,NETWORKDAYS('WBS Schedule'!$H$52,$C$14,Holidays)/'WBS Schedule'!$G$52))*'WBS Schedule'!$P$52</f>
        <v>0</v>
      </c>
      <c r="L108" s="123" t="n">
        <f aca="false">IF($C$15&lt;'WBS Schedule'!$H$52,0,MIN(1,NETWORKDAYS('WBS Schedule'!$H$52,$C$15,Holidays)/'WBS Schedule'!$G$52))*'WBS Schedule'!$P$52</f>
        <v>0</v>
      </c>
      <c r="M108" s="123" t="n">
        <f aca="false">IF($C$16&lt;'WBS Schedule'!$H$52,0,MIN(1,NETWORKDAYS('WBS Schedule'!$H$52,$C$16,Holidays)/'WBS Schedule'!$G$52))*'WBS Schedule'!$P$52</f>
        <v>0</v>
      </c>
      <c r="N108" s="123" t="n">
        <f aca="false">IF($C$17&lt;'WBS Schedule'!$H$52,0,MIN(1,NETWORKDAYS('WBS Schedule'!$H$52,$C$17,Holidays)/'WBS Schedule'!$G$52))*'WBS Schedule'!$P$52</f>
        <v>0</v>
      </c>
      <c r="O108" s="123" t="n">
        <f aca="false">IF($C$18&lt;'WBS Schedule'!$H$52,0,MIN(1,NETWORKDAYS('WBS Schedule'!$H$52,$C$18,Holidays)/'WBS Schedule'!$G$52))*'WBS Schedule'!$P$52</f>
        <v>0</v>
      </c>
      <c r="P108" s="123" t="n">
        <f aca="false">IF($C$19&lt;'WBS Schedule'!$H$52,0,MIN(1,NETWORKDAYS('WBS Schedule'!$H$52,$C$19,Holidays)/'WBS Schedule'!$G$52))*'WBS Schedule'!$P$52</f>
        <v>0</v>
      </c>
      <c r="Q108" s="123" t="n">
        <f aca="false">IF($C$20&lt;'WBS Schedule'!$H$52,0,MIN(1,NETWORKDAYS('WBS Schedule'!$H$52,$C$20,Holidays)/'WBS Schedule'!$G$52))*'WBS Schedule'!$P$52</f>
        <v>1.92</v>
      </c>
      <c r="R108" s="123" t="n">
        <f aca="false">IF($C$21&lt;'WBS Schedule'!$H$52,0,MIN(1,NETWORKDAYS('WBS Schedule'!$H$52,$C$21,Holidays)/'WBS Schedule'!$G$52))*'WBS Schedule'!$P$52</f>
        <v>1.92</v>
      </c>
      <c r="S108" s="123" t="n">
        <f aca="false">IF($C$22&lt;'WBS Schedule'!$H$52,0,MIN(1,NETWORKDAYS('WBS Schedule'!$H$52,$C$22,Holidays)/'WBS Schedule'!$G$52))*'WBS Schedule'!$P$52</f>
        <v>1.92</v>
      </c>
      <c r="T108" s="123" t="n">
        <f aca="false">IF($C$23&lt;'WBS Schedule'!$H$52,0,MIN(1,NETWORKDAYS('WBS Schedule'!$H$52,$C$23,Holidays)/'WBS Schedule'!$G$52))*'WBS Schedule'!$P$52</f>
        <v>1.92</v>
      </c>
      <c r="U108" s="123" t="n">
        <f aca="false">IF($C$24&lt;'WBS Schedule'!$H$52,0,MIN(1,NETWORKDAYS('WBS Schedule'!$H$52,$C$24,Holidays)/'WBS Schedule'!$G$52))*'WBS Schedule'!$P$52</f>
        <v>1.92</v>
      </c>
      <c r="V108" s="123" t="n">
        <f aca="false">IF($C$25&lt;'WBS Schedule'!$H$52,0,MIN(1,NETWORKDAYS('WBS Schedule'!$H$52,$C$25,Holidays)/'WBS Schedule'!$G$52))*'WBS Schedule'!$P$52</f>
        <v>1.92</v>
      </c>
    </row>
    <row r="109" customFormat="false" ht="15" hidden="false" customHeight="false" outlineLevel="0" collapsed="false">
      <c r="A109" s="0" t="str">
        <f aca="false">'WBS Schedule'!A53</f>
        <v>4.9</v>
      </c>
      <c r="B109" s="123" t="n">
        <f aca="false">IF($C$5&lt;'WBS Schedule'!$H$53,0,MIN(1,NETWORKDAYS('WBS Schedule'!$H$53,$C$5,Holidays)/'WBS Schedule'!$G$53))*'WBS Schedule'!$P$53</f>
        <v>0</v>
      </c>
      <c r="C109" s="123" t="n">
        <f aca="false">IF($C$6&lt;'WBS Schedule'!$H$53,0,MIN(1,NETWORKDAYS('WBS Schedule'!$H$53,$C$6,Holidays)/'WBS Schedule'!$G$53))*'WBS Schedule'!$P$53</f>
        <v>0</v>
      </c>
      <c r="D109" s="123" t="n">
        <f aca="false">IF($C$7&lt;'WBS Schedule'!$H$53,0,MIN(1,NETWORKDAYS('WBS Schedule'!$H$53,$C$7,Holidays)/'WBS Schedule'!$G$53))*'WBS Schedule'!$P$53</f>
        <v>0</v>
      </c>
      <c r="E109" s="123" t="n">
        <f aca="false">IF($C$8&lt;'WBS Schedule'!$H$53,0,MIN(1,NETWORKDAYS('WBS Schedule'!$H$53,$C$8,Holidays)/'WBS Schedule'!$G$53))*'WBS Schedule'!$P$53</f>
        <v>0</v>
      </c>
      <c r="F109" s="123" t="n">
        <f aca="false">IF($C$9&lt;'WBS Schedule'!$H$53,0,MIN(1,NETWORKDAYS('WBS Schedule'!$H$53,$C$9,Holidays)/'WBS Schedule'!$G$53))*'WBS Schedule'!$P$53</f>
        <v>0</v>
      </c>
      <c r="G109" s="123" t="n">
        <f aca="false">IF($C$10&lt;'WBS Schedule'!$H$53,0,MIN(1,NETWORKDAYS('WBS Schedule'!$H$53,$C$10,Holidays)/'WBS Schedule'!$G$53))*'WBS Schedule'!$P$53</f>
        <v>0</v>
      </c>
      <c r="H109" s="123" t="n">
        <f aca="false">IF($C$11&lt;'WBS Schedule'!$H$53,0,MIN(1,NETWORKDAYS('WBS Schedule'!$H$53,$C$11,Holidays)/'WBS Schedule'!$G$53))*'WBS Schedule'!$P$53</f>
        <v>0</v>
      </c>
      <c r="I109" s="123" t="n">
        <f aca="false">IF($C$12&lt;'WBS Schedule'!$H$53,0,MIN(1,NETWORKDAYS('WBS Schedule'!$H$53,$C$12,Holidays)/'WBS Schedule'!$G$53))*'WBS Schedule'!$P$53</f>
        <v>0</v>
      </c>
      <c r="J109" s="123" t="n">
        <f aca="false">IF($C$13&lt;'WBS Schedule'!$H$53,0,MIN(1,NETWORKDAYS('WBS Schedule'!$H$53,$C$13,Holidays)/'WBS Schedule'!$G$53))*'WBS Schedule'!$P$53</f>
        <v>0</v>
      </c>
      <c r="K109" s="123" t="n">
        <f aca="false">IF($C$14&lt;'WBS Schedule'!$H$53,0,MIN(1,NETWORKDAYS('WBS Schedule'!$H$53,$C$14,Holidays)/'WBS Schedule'!$G$53))*'WBS Schedule'!$P$53</f>
        <v>0</v>
      </c>
      <c r="L109" s="123" t="n">
        <f aca="false">IF($C$15&lt;'WBS Schedule'!$H$53,0,MIN(1,NETWORKDAYS('WBS Schedule'!$H$53,$C$15,Holidays)/'WBS Schedule'!$G$53))*'WBS Schedule'!$P$53</f>
        <v>0</v>
      </c>
      <c r="M109" s="123" t="n">
        <f aca="false">IF($C$16&lt;'WBS Schedule'!$H$53,0,MIN(1,NETWORKDAYS('WBS Schedule'!$H$53,$C$16,Holidays)/'WBS Schedule'!$G$53))*'WBS Schedule'!$P$53</f>
        <v>0</v>
      </c>
      <c r="N109" s="123" t="n">
        <f aca="false">IF($C$17&lt;'WBS Schedule'!$H$53,0,MIN(1,NETWORKDAYS('WBS Schedule'!$H$53,$C$17,Holidays)/'WBS Schedule'!$G$53))*'WBS Schedule'!$P$53</f>
        <v>0</v>
      </c>
      <c r="O109" s="123" t="n">
        <f aca="false">IF($C$18&lt;'WBS Schedule'!$H$53,0,MIN(1,NETWORKDAYS('WBS Schedule'!$H$53,$C$18,Holidays)/'WBS Schedule'!$G$53))*'WBS Schedule'!$P$53</f>
        <v>1.92</v>
      </c>
      <c r="P109" s="123" t="n">
        <f aca="false">IF($C$19&lt;'WBS Schedule'!$H$53,0,MIN(1,NETWORKDAYS('WBS Schedule'!$H$53,$C$19,Holidays)/'WBS Schedule'!$G$53))*'WBS Schedule'!$P$53</f>
        <v>1.92</v>
      </c>
      <c r="Q109" s="123" t="n">
        <f aca="false">IF($C$20&lt;'WBS Schedule'!$H$53,0,MIN(1,NETWORKDAYS('WBS Schedule'!$H$53,$C$20,Holidays)/'WBS Schedule'!$G$53))*'WBS Schedule'!$P$53</f>
        <v>1.92</v>
      </c>
      <c r="R109" s="123" t="n">
        <f aca="false">IF($C$21&lt;'WBS Schedule'!$H$53,0,MIN(1,NETWORKDAYS('WBS Schedule'!$H$53,$C$21,Holidays)/'WBS Schedule'!$G$53))*'WBS Schedule'!$P$53</f>
        <v>1.92</v>
      </c>
      <c r="S109" s="123" t="n">
        <f aca="false">IF($C$22&lt;'WBS Schedule'!$H$53,0,MIN(1,NETWORKDAYS('WBS Schedule'!$H$53,$C$22,Holidays)/'WBS Schedule'!$G$53))*'WBS Schedule'!$P$53</f>
        <v>1.92</v>
      </c>
      <c r="T109" s="123" t="n">
        <f aca="false">IF($C$23&lt;'WBS Schedule'!$H$53,0,MIN(1,NETWORKDAYS('WBS Schedule'!$H$53,$C$23,Holidays)/'WBS Schedule'!$G$53))*'WBS Schedule'!$P$53</f>
        <v>1.92</v>
      </c>
      <c r="U109" s="123" t="n">
        <f aca="false">IF($C$24&lt;'WBS Schedule'!$H$53,0,MIN(1,NETWORKDAYS('WBS Schedule'!$H$53,$C$24,Holidays)/'WBS Schedule'!$G$53))*'WBS Schedule'!$P$53</f>
        <v>1.92</v>
      </c>
      <c r="V109" s="123" t="n">
        <f aca="false">IF($C$25&lt;'WBS Schedule'!$H$53,0,MIN(1,NETWORKDAYS('WBS Schedule'!$H$53,$C$25,Holidays)/'WBS Schedule'!$G$53))*'WBS Schedule'!$P$53</f>
        <v>1.92</v>
      </c>
    </row>
    <row r="110" customFormat="false" ht="15" hidden="false" customHeight="false" outlineLevel="0" collapsed="false">
      <c r="A110" s="0" t="str">
        <f aca="false">'WBS Schedule'!A54</f>
        <v>4.10</v>
      </c>
      <c r="B110" s="123" t="n">
        <f aca="false">IF($C$5&lt;'WBS Schedule'!$H$54,0,MIN(1,NETWORKDAYS('WBS Schedule'!$H$54,$C$5,Holidays)/'WBS Schedule'!$G$54))*'WBS Schedule'!$P$54</f>
        <v>0</v>
      </c>
      <c r="C110" s="123" t="n">
        <f aca="false">IF($C$6&lt;'WBS Schedule'!$H$54,0,MIN(1,NETWORKDAYS('WBS Schedule'!$H$54,$C$6,Holidays)/'WBS Schedule'!$G$54))*'WBS Schedule'!$P$54</f>
        <v>0</v>
      </c>
      <c r="D110" s="123" t="n">
        <f aca="false">IF($C$7&lt;'WBS Schedule'!$H$54,0,MIN(1,NETWORKDAYS('WBS Schedule'!$H$54,$C$7,Holidays)/'WBS Schedule'!$G$54))*'WBS Schedule'!$P$54</f>
        <v>0</v>
      </c>
      <c r="E110" s="123" t="n">
        <f aca="false">IF($C$8&lt;'WBS Schedule'!$H$54,0,MIN(1,NETWORKDAYS('WBS Schedule'!$H$54,$C$8,Holidays)/'WBS Schedule'!$G$54))*'WBS Schedule'!$P$54</f>
        <v>0</v>
      </c>
      <c r="F110" s="123" t="n">
        <f aca="false">IF($C$9&lt;'WBS Schedule'!$H$54,0,MIN(1,NETWORKDAYS('WBS Schedule'!$H$54,$C$9,Holidays)/'WBS Schedule'!$G$54))*'WBS Schedule'!$P$54</f>
        <v>0</v>
      </c>
      <c r="G110" s="123" t="n">
        <f aca="false">IF($C$10&lt;'WBS Schedule'!$H$54,0,MIN(1,NETWORKDAYS('WBS Schedule'!$H$54,$C$10,Holidays)/'WBS Schedule'!$G$54))*'WBS Schedule'!$P$54</f>
        <v>0</v>
      </c>
      <c r="H110" s="123" t="n">
        <f aca="false">IF($C$11&lt;'WBS Schedule'!$H$54,0,MIN(1,NETWORKDAYS('WBS Schedule'!$H$54,$C$11,Holidays)/'WBS Schedule'!$G$54))*'WBS Schedule'!$P$54</f>
        <v>0</v>
      </c>
      <c r="I110" s="123" t="n">
        <f aca="false">IF($C$12&lt;'WBS Schedule'!$H$54,0,MIN(1,NETWORKDAYS('WBS Schedule'!$H$54,$C$12,Holidays)/'WBS Schedule'!$G$54))*'WBS Schedule'!$P$54</f>
        <v>0</v>
      </c>
      <c r="J110" s="123" t="n">
        <f aca="false">IF($C$13&lt;'WBS Schedule'!$H$54,0,MIN(1,NETWORKDAYS('WBS Schedule'!$H$54,$C$13,Holidays)/'WBS Schedule'!$G$54))*'WBS Schedule'!$P$54</f>
        <v>0</v>
      </c>
      <c r="K110" s="123" t="n">
        <f aca="false">IF($C$14&lt;'WBS Schedule'!$H$54,0,MIN(1,NETWORKDAYS('WBS Schedule'!$H$54,$C$14,Holidays)/'WBS Schedule'!$G$54))*'WBS Schedule'!$P$54</f>
        <v>0</v>
      </c>
      <c r="L110" s="123" t="n">
        <f aca="false">IF($C$15&lt;'WBS Schedule'!$H$54,0,MIN(1,NETWORKDAYS('WBS Schedule'!$H$54,$C$15,Holidays)/'WBS Schedule'!$G$54))*'WBS Schedule'!$P$54</f>
        <v>0</v>
      </c>
      <c r="M110" s="123" t="n">
        <f aca="false">IF($C$16&lt;'WBS Schedule'!$H$54,0,MIN(1,NETWORKDAYS('WBS Schedule'!$H$54,$C$16,Holidays)/'WBS Schedule'!$G$54))*'WBS Schedule'!$P$54</f>
        <v>0</v>
      </c>
      <c r="N110" s="123" t="n">
        <f aca="false">IF($C$17&lt;'WBS Schedule'!$H$54,0,MIN(1,NETWORKDAYS('WBS Schedule'!$H$54,$C$17,Holidays)/'WBS Schedule'!$G$54))*'WBS Schedule'!$P$54</f>
        <v>0</v>
      </c>
      <c r="O110" s="123" t="n">
        <f aca="false">IF($C$18&lt;'WBS Schedule'!$H$54,0,MIN(1,NETWORKDAYS('WBS Schedule'!$H$54,$C$18,Holidays)/'WBS Schedule'!$G$54))*'WBS Schedule'!$P$54</f>
        <v>0</v>
      </c>
      <c r="P110" s="123" t="n">
        <f aca="false">IF($C$19&lt;'WBS Schedule'!$H$54,0,MIN(1,NETWORKDAYS('WBS Schedule'!$H$54,$C$19,Holidays)/'WBS Schedule'!$G$54))*'WBS Schedule'!$P$54</f>
        <v>0</v>
      </c>
      <c r="Q110" s="123" t="n">
        <f aca="false">IF($C$20&lt;'WBS Schedule'!$H$54,0,MIN(1,NETWORKDAYS('WBS Schedule'!$H$54,$C$20,Holidays)/'WBS Schedule'!$G$54))*'WBS Schedule'!$P$54</f>
        <v>2.56</v>
      </c>
      <c r="R110" s="123" t="n">
        <f aca="false">IF($C$21&lt;'WBS Schedule'!$H$54,0,MIN(1,NETWORKDAYS('WBS Schedule'!$H$54,$C$21,Holidays)/'WBS Schedule'!$G$54))*'WBS Schedule'!$P$54</f>
        <v>5.12</v>
      </c>
      <c r="S110" s="123" t="n">
        <f aca="false">IF($C$22&lt;'WBS Schedule'!$H$54,0,MIN(1,NETWORKDAYS('WBS Schedule'!$H$54,$C$22,Holidays)/'WBS Schedule'!$G$54))*'WBS Schedule'!$P$54</f>
        <v>5.12</v>
      </c>
      <c r="T110" s="123" t="n">
        <f aca="false">IF($C$23&lt;'WBS Schedule'!$H$54,0,MIN(1,NETWORKDAYS('WBS Schedule'!$H$54,$C$23,Holidays)/'WBS Schedule'!$G$54))*'WBS Schedule'!$P$54</f>
        <v>5.12</v>
      </c>
      <c r="U110" s="123" t="n">
        <f aca="false">IF($C$24&lt;'WBS Schedule'!$H$54,0,MIN(1,NETWORKDAYS('WBS Schedule'!$H$54,$C$24,Holidays)/'WBS Schedule'!$G$54))*'WBS Schedule'!$P$54</f>
        <v>5.12</v>
      </c>
      <c r="V110" s="123" t="n">
        <f aca="false">IF($C$25&lt;'WBS Schedule'!$H$54,0,MIN(1,NETWORKDAYS('WBS Schedule'!$H$54,$C$25,Holidays)/'WBS Schedule'!$G$54))*'WBS Schedule'!$P$54</f>
        <v>5.12</v>
      </c>
    </row>
    <row r="111" customFormat="false" ht="15" hidden="false" customHeight="false" outlineLevel="0" collapsed="false">
      <c r="A111" s="0" t="str">
        <f aca="false">'WBS Schedule'!A57</f>
        <v>5.1</v>
      </c>
      <c r="B111" s="123" t="n">
        <f aca="false">IF($C$5&lt;'WBS Schedule'!$H$57,0,MIN(1,NETWORKDAYS('WBS Schedule'!$H$57,$C$5,Holidays)/'WBS Schedule'!$G$57))*'WBS Schedule'!$P$57</f>
        <v>0</v>
      </c>
      <c r="C111" s="123" t="n">
        <f aca="false">IF($C$6&lt;'WBS Schedule'!$H$57,0,MIN(1,NETWORKDAYS('WBS Schedule'!$H$57,$C$6,Holidays)/'WBS Schedule'!$G$57))*'WBS Schedule'!$P$57</f>
        <v>0</v>
      </c>
      <c r="D111" s="123" t="n">
        <f aca="false">IF($C$7&lt;'WBS Schedule'!$H$57,0,MIN(1,NETWORKDAYS('WBS Schedule'!$H$57,$C$7,Holidays)/'WBS Schedule'!$G$57))*'WBS Schedule'!$P$57</f>
        <v>0</v>
      </c>
      <c r="E111" s="123" t="n">
        <f aca="false">IF($C$8&lt;'WBS Schedule'!$H$57,0,MIN(1,NETWORKDAYS('WBS Schedule'!$H$57,$C$8,Holidays)/'WBS Schedule'!$G$57))*'WBS Schedule'!$P$57</f>
        <v>0</v>
      </c>
      <c r="F111" s="123" t="n">
        <f aca="false">IF($C$9&lt;'WBS Schedule'!$H$57,0,MIN(1,NETWORKDAYS('WBS Schedule'!$H$57,$C$9,Holidays)/'WBS Schedule'!$G$57))*'WBS Schedule'!$P$57</f>
        <v>0</v>
      </c>
      <c r="G111" s="123" t="n">
        <f aca="false">IF($C$10&lt;'WBS Schedule'!$H$57,0,MIN(1,NETWORKDAYS('WBS Schedule'!$H$57,$C$10,Holidays)/'WBS Schedule'!$G$57))*'WBS Schedule'!$P$57</f>
        <v>0</v>
      </c>
      <c r="H111" s="123" t="n">
        <f aca="false">IF($C$11&lt;'WBS Schedule'!$H$57,0,MIN(1,NETWORKDAYS('WBS Schedule'!$H$57,$C$11,Holidays)/'WBS Schedule'!$G$57))*'WBS Schedule'!$P$57</f>
        <v>0</v>
      </c>
      <c r="I111" s="123" t="n">
        <f aca="false">IF($C$12&lt;'WBS Schedule'!$H$57,0,MIN(1,NETWORKDAYS('WBS Schedule'!$H$57,$C$12,Holidays)/'WBS Schedule'!$G$57))*'WBS Schedule'!$P$57</f>
        <v>0</v>
      </c>
      <c r="J111" s="123" t="n">
        <f aca="false">IF($C$13&lt;'WBS Schedule'!$H$57,0,MIN(1,NETWORKDAYS('WBS Schedule'!$H$57,$C$13,Holidays)/'WBS Schedule'!$G$57))*'WBS Schedule'!$P$57</f>
        <v>0</v>
      </c>
      <c r="K111" s="123" t="n">
        <f aca="false">IF($C$14&lt;'WBS Schedule'!$H$57,0,MIN(1,NETWORKDAYS('WBS Schedule'!$H$57,$C$14,Holidays)/'WBS Schedule'!$G$57))*'WBS Schedule'!$P$57</f>
        <v>0</v>
      </c>
      <c r="L111" s="123" t="n">
        <f aca="false">IF($C$15&lt;'WBS Schedule'!$H$57,0,MIN(1,NETWORKDAYS('WBS Schedule'!$H$57,$C$15,Holidays)/'WBS Schedule'!$G$57))*'WBS Schedule'!$P$57</f>
        <v>0</v>
      </c>
      <c r="M111" s="123" t="n">
        <f aca="false">IF($C$16&lt;'WBS Schedule'!$H$57,0,MIN(1,NETWORKDAYS('WBS Schedule'!$H$57,$C$16,Holidays)/'WBS Schedule'!$G$57))*'WBS Schedule'!$P$57</f>
        <v>0</v>
      </c>
      <c r="N111" s="123" t="n">
        <f aca="false">IF($C$17&lt;'WBS Schedule'!$H$57,0,MIN(1,NETWORKDAYS('WBS Schedule'!$H$57,$C$17,Holidays)/'WBS Schedule'!$G$57))*'WBS Schedule'!$P$57</f>
        <v>0</v>
      </c>
      <c r="O111" s="123" t="n">
        <f aca="false">IF($C$18&lt;'WBS Schedule'!$H$57,0,MIN(1,NETWORKDAYS('WBS Schedule'!$H$57,$C$18,Holidays)/'WBS Schedule'!$G$57))*'WBS Schedule'!$P$57</f>
        <v>0</v>
      </c>
      <c r="P111" s="123" t="n">
        <f aca="false">IF($C$19&lt;'WBS Schedule'!$H$57,0,MIN(1,NETWORKDAYS('WBS Schedule'!$H$57,$C$19,Holidays)/'WBS Schedule'!$G$57))*'WBS Schedule'!$P$57</f>
        <v>0</v>
      </c>
      <c r="Q111" s="123" t="n">
        <f aca="false">IF($C$20&lt;'WBS Schedule'!$H$57,0,MIN(1,NETWORKDAYS('WBS Schedule'!$H$57,$C$20,Holidays)/'WBS Schedule'!$G$57))*'WBS Schedule'!$P$57</f>
        <v>0</v>
      </c>
      <c r="R111" s="123" t="n">
        <f aca="false">IF($C$21&lt;'WBS Schedule'!$H$57,0,MIN(1,NETWORKDAYS('WBS Schedule'!$H$57,$C$21,Holidays)/'WBS Schedule'!$G$57))*'WBS Schedule'!$P$57</f>
        <v>0</v>
      </c>
      <c r="S111" s="123" t="n">
        <f aca="false">IF($C$22&lt;'WBS Schedule'!$H$57,0,MIN(1,NETWORKDAYS('WBS Schedule'!$H$57,$C$22,Holidays)/'WBS Schedule'!$G$57))*'WBS Schedule'!$P$57</f>
        <v>1.28</v>
      </c>
      <c r="T111" s="123" t="n">
        <f aca="false">IF($C$23&lt;'WBS Schedule'!$H$57,0,MIN(1,NETWORKDAYS('WBS Schedule'!$H$57,$C$23,Holidays)/'WBS Schedule'!$G$57))*'WBS Schedule'!$P$57</f>
        <v>1.28</v>
      </c>
      <c r="U111" s="123" t="n">
        <f aca="false">IF($C$24&lt;'WBS Schedule'!$H$57,0,MIN(1,NETWORKDAYS('WBS Schedule'!$H$57,$C$24,Holidays)/'WBS Schedule'!$G$57))*'WBS Schedule'!$P$57</f>
        <v>1.28</v>
      </c>
      <c r="V111" s="123" t="n">
        <f aca="false">IF($C$25&lt;'WBS Schedule'!$H$57,0,MIN(1,NETWORKDAYS('WBS Schedule'!$H$57,$C$25,Holidays)/'WBS Schedule'!$G$57))*'WBS Schedule'!$P$57</f>
        <v>1.28</v>
      </c>
    </row>
    <row r="112" customFormat="false" ht="15" hidden="false" customHeight="false" outlineLevel="0" collapsed="false">
      <c r="A112" s="0" t="str">
        <f aca="false">'WBS Schedule'!A58</f>
        <v>5.2</v>
      </c>
      <c r="B112" s="123" t="n">
        <f aca="false">IF($C$5&lt;'WBS Schedule'!$H$58,0,MIN(1,NETWORKDAYS('WBS Schedule'!$H$58,$C$5,Holidays)/'WBS Schedule'!$G$58))*'WBS Schedule'!$P$58</f>
        <v>0</v>
      </c>
      <c r="C112" s="123" t="n">
        <f aca="false">IF($C$6&lt;'WBS Schedule'!$H$58,0,MIN(1,NETWORKDAYS('WBS Schedule'!$H$58,$C$6,Holidays)/'WBS Schedule'!$G$58))*'WBS Schedule'!$P$58</f>
        <v>0</v>
      </c>
      <c r="D112" s="123" t="n">
        <f aca="false">IF($C$7&lt;'WBS Schedule'!$H$58,0,MIN(1,NETWORKDAYS('WBS Schedule'!$H$58,$C$7,Holidays)/'WBS Schedule'!$G$58))*'WBS Schedule'!$P$58</f>
        <v>0</v>
      </c>
      <c r="E112" s="123" t="n">
        <f aca="false">IF($C$8&lt;'WBS Schedule'!$H$58,0,MIN(1,NETWORKDAYS('WBS Schedule'!$H$58,$C$8,Holidays)/'WBS Schedule'!$G$58))*'WBS Schedule'!$P$58</f>
        <v>0</v>
      </c>
      <c r="F112" s="123" t="n">
        <f aca="false">IF($C$9&lt;'WBS Schedule'!$H$58,0,MIN(1,NETWORKDAYS('WBS Schedule'!$H$58,$C$9,Holidays)/'WBS Schedule'!$G$58))*'WBS Schedule'!$P$58</f>
        <v>0</v>
      </c>
      <c r="G112" s="123" t="n">
        <f aca="false">IF($C$10&lt;'WBS Schedule'!$H$58,0,MIN(1,NETWORKDAYS('WBS Schedule'!$H$58,$C$10,Holidays)/'WBS Schedule'!$G$58))*'WBS Schedule'!$P$58</f>
        <v>0</v>
      </c>
      <c r="H112" s="123" t="n">
        <f aca="false">IF($C$11&lt;'WBS Schedule'!$H$58,0,MIN(1,NETWORKDAYS('WBS Schedule'!$H$58,$C$11,Holidays)/'WBS Schedule'!$G$58))*'WBS Schedule'!$P$58</f>
        <v>0</v>
      </c>
      <c r="I112" s="123" t="n">
        <f aca="false">IF($C$12&lt;'WBS Schedule'!$H$58,0,MIN(1,NETWORKDAYS('WBS Schedule'!$H$58,$C$12,Holidays)/'WBS Schedule'!$G$58))*'WBS Schedule'!$P$58</f>
        <v>0</v>
      </c>
      <c r="J112" s="123" t="n">
        <f aca="false">IF($C$13&lt;'WBS Schedule'!$H$58,0,MIN(1,NETWORKDAYS('WBS Schedule'!$H$58,$C$13,Holidays)/'WBS Schedule'!$G$58))*'WBS Schedule'!$P$58</f>
        <v>0</v>
      </c>
      <c r="K112" s="123" t="n">
        <f aca="false">IF($C$14&lt;'WBS Schedule'!$H$58,0,MIN(1,NETWORKDAYS('WBS Schedule'!$H$58,$C$14,Holidays)/'WBS Schedule'!$G$58))*'WBS Schedule'!$P$58</f>
        <v>0</v>
      </c>
      <c r="L112" s="123" t="n">
        <f aca="false">IF($C$15&lt;'WBS Schedule'!$H$58,0,MIN(1,NETWORKDAYS('WBS Schedule'!$H$58,$C$15,Holidays)/'WBS Schedule'!$G$58))*'WBS Schedule'!$P$58</f>
        <v>0</v>
      </c>
      <c r="M112" s="123" t="n">
        <f aca="false">IF($C$16&lt;'WBS Schedule'!$H$58,0,MIN(1,NETWORKDAYS('WBS Schedule'!$H$58,$C$16,Holidays)/'WBS Schedule'!$G$58))*'WBS Schedule'!$P$58</f>
        <v>0</v>
      </c>
      <c r="N112" s="123" t="n">
        <f aca="false">IF($C$17&lt;'WBS Schedule'!$H$58,0,MIN(1,NETWORKDAYS('WBS Schedule'!$H$58,$C$17,Holidays)/'WBS Schedule'!$G$58))*'WBS Schedule'!$P$58</f>
        <v>0</v>
      </c>
      <c r="O112" s="123" t="n">
        <f aca="false">IF($C$18&lt;'WBS Schedule'!$H$58,0,MIN(1,NETWORKDAYS('WBS Schedule'!$H$58,$C$18,Holidays)/'WBS Schedule'!$G$58))*'WBS Schedule'!$P$58</f>
        <v>0</v>
      </c>
      <c r="P112" s="123" t="n">
        <f aca="false">IF($C$19&lt;'WBS Schedule'!$H$58,0,MIN(1,NETWORKDAYS('WBS Schedule'!$H$58,$C$19,Holidays)/'WBS Schedule'!$G$58))*'WBS Schedule'!$P$58</f>
        <v>0</v>
      </c>
      <c r="Q112" s="123" t="n">
        <f aca="false">IF($C$20&lt;'WBS Schedule'!$H$58,0,MIN(1,NETWORKDAYS('WBS Schedule'!$H$58,$C$20,Holidays)/'WBS Schedule'!$G$58))*'WBS Schedule'!$P$58</f>
        <v>0</v>
      </c>
      <c r="R112" s="123" t="n">
        <f aca="false">IF($C$21&lt;'WBS Schedule'!$H$58,0,MIN(1,NETWORKDAYS('WBS Schedule'!$H$58,$C$21,Holidays)/'WBS Schedule'!$G$58))*'WBS Schedule'!$P$58</f>
        <v>0</v>
      </c>
      <c r="S112" s="123" t="n">
        <f aca="false">IF($C$22&lt;'WBS Schedule'!$H$58,0,MIN(1,NETWORKDAYS('WBS Schedule'!$H$58,$C$22,Holidays)/'WBS Schedule'!$G$58))*'WBS Schedule'!$P$58</f>
        <v>3.84</v>
      </c>
      <c r="T112" s="123" t="n">
        <f aca="false">IF($C$23&lt;'WBS Schedule'!$H$58,0,MIN(1,NETWORKDAYS('WBS Schedule'!$H$58,$C$23,Holidays)/'WBS Schedule'!$G$58))*'WBS Schedule'!$P$58</f>
        <v>5.12</v>
      </c>
      <c r="U112" s="123" t="n">
        <f aca="false">IF($C$24&lt;'WBS Schedule'!$H$58,0,MIN(1,NETWORKDAYS('WBS Schedule'!$H$58,$C$24,Holidays)/'WBS Schedule'!$G$58))*'WBS Schedule'!$P$58</f>
        <v>5.12</v>
      </c>
      <c r="V112" s="123" t="n">
        <f aca="false">IF($C$25&lt;'WBS Schedule'!$H$58,0,MIN(1,NETWORKDAYS('WBS Schedule'!$H$58,$C$25,Holidays)/'WBS Schedule'!$G$58))*'WBS Schedule'!$P$58</f>
        <v>5.12</v>
      </c>
    </row>
    <row r="113" customFormat="false" ht="15" hidden="false" customHeight="false" outlineLevel="0" collapsed="false">
      <c r="A113" s="0" t="str">
        <f aca="false">'WBS Schedule'!A59</f>
        <v>5.3</v>
      </c>
      <c r="B113" s="123" t="n">
        <f aca="false">IF($C$5&lt;'WBS Schedule'!$H$59,0,MIN(1,NETWORKDAYS('WBS Schedule'!$H$59,$C$5,Holidays)/'WBS Schedule'!$G$59))*'WBS Schedule'!$P$59</f>
        <v>0</v>
      </c>
      <c r="C113" s="123" t="n">
        <f aca="false">IF($C$6&lt;'WBS Schedule'!$H$59,0,MIN(1,NETWORKDAYS('WBS Schedule'!$H$59,$C$6,Holidays)/'WBS Schedule'!$G$59))*'WBS Schedule'!$P$59</f>
        <v>0</v>
      </c>
      <c r="D113" s="123" t="n">
        <f aca="false">IF($C$7&lt;'WBS Schedule'!$H$59,0,MIN(1,NETWORKDAYS('WBS Schedule'!$H$59,$C$7,Holidays)/'WBS Schedule'!$G$59))*'WBS Schedule'!$P$59</f>
        <v>0</v>
      </c>
      <c r="E113" s="123" t="n">
        <f aca="false">IF($C$8&lt;'WBS Schedule'!$H$59,0,MIN(1,NETWORKDAYS('WBS Schedule'!$H$59,$C$8,Holidays)/'WBS Schedule'!$G$59))*'WBS Schedule'!$P$59</f>
        <v>0</v>
      </c>
      <c r="F113" s="123" t="n">
        <f aca="false">IF($C$9&lt;'WBS Schedule'!$H$59,0,MIN(1,NETWORKDAYS('WBS Schedule'!$H$59,$C$9,Holidays)/'WBS Schedule'!$G$59))*'WBS Schedule'!$P$59</f>
        <v>0</v>
      </c>
      <c r="G113" s="123" t="n">
        <f aca="false">IF($C$10&lt;'WBS Schedule'!$H$59,0,MIN(1,NETWORKDAYS('WBS Schedule'!$H$59,$C$10,Holidays)/'WBS Schedule'!$G$59))*'WBS Schedule'!$P$59</f>
        <v>0</v>
      </c>
      <c r="H113" s="123" t="n">
        <f aca="false">IF($C$11&lt;'WBS Schedule'!$H$59,0,MIN(1,NETWORKDAYS('WBS Schedule'!$H$59,$C$11,Holidays)/'WBS Schedule'!$G$59))*'WBS Schedule'!$P$59</f>
        <v>0</v>
      </c>
      <c r="I113" s="123" t="n">
        <f aca="false">IF($C$12&lt;'WBS Schedule'!$H$59,0,MIN(1,NETWORKDAYS('WBS Schedule'!$H$59,$C$12,Holidays)/'WBS Schedule'!$G$59))*'WBS Schedule'!$P$59</f>
        <v>0</v>
      </c>
      <c r="J113" s="123" t="n">
        <f aca="false">IF($C$13&lt;'WBS Schedule'!$H$59,0,MIN(1,NETWORKDAYS('WBS Schedule'!$H$59,$C$13,Holidays)/'WBS Schedule'!$G$59))*'WBS Schedule'!$P$59</f>
        <v>0</v>
      </c>
      <c r="K113" s="123" t="n">
        <f aca="false">IF($C$14&lt;'WBS Schedule'!$H$59,0,MIN(1,NETWORKDAYS('WBS Schedule'!$H$59,$C$14,Holidays)/'WBS Schedule'!$G$59))*'WBS Schedule'!$P$59</f>
        <v>0</v>
      </c>
      <c r="L113" s="123" t="n">
        <f aca="false">IF($C$15&lt;'WBS Schedule'!$H$59,0,MIN(1,NETWORKDAYS('WBS Schedule'!$H$59,$C$15,Holidays)/'WBS Schedule'!$G$59))*'WBS Schedule'!$P$59</f>
        <v>0</v>
      </c>
      <c r="M113" s="123" t="n">
        <f aca="false">IF($C$16&lt;'WBS Schedule'!$H$59,0,MIN(1,NETWORKDAYS('WBS Schedule'!$H$59,$C$16,Holidays)/'WBS Schedule'!$G$59))*'WBS Schedule'!$P$59</f>
        <v>0</v>
      </c>
      <c r="N113" s="123" t="n">
        <f aca="false">IF($C$17&lt;'WBS Schedule'!$H$59,0,MIN(1,NETWORKDAYS('WBS Schedule'!$H$59,$C$17,Holidays)/'WBS Schedule'!$G$59))*'WBS Schedule'!$P$59</f>
        <v>0</v>
      </c>
      <c r="O113" s="123" t="n">
        <f aca="false">IF($C$18&lt;'WBS Schedule'!$H$59,0,MIN(1,NETWORKDAYS('WBS Schedule'!$H$59,$C$18,Holidays)/'WBS Schedule'!$G$59))*'WBS Schedule'!$P$59</f>
        <v>0</v>
      </c>
      <c r="P113" s="123" t="n">
        <f aca="false">IF($C$19&lt;'WBS Schedule'!$H$59,0,MIN(1,NETWORKDAYS('WBS Schedule'!$H$59,$C$19,Holidays)/'WBS Schedule'!$G$59))*'WBS Schedule'!$P$59</f>
        <v>0</v>
      </c>
      <c r="Q113" s="123" t="n">
        <f aca="false">IF($C$20&lt;'WBS Schedule'!$H$59,0,MIN(1,NETWORKDAYS('WBS Schedule'!$H$59,$C$20,Holidays)/'WBS Schedule'!$G$59))*'WBS Schedule'!$P$59</f>
        <v>0</v>
      </c>
      <c r="R113" s="123" t="n">
        <f aca="false">IF($C$21&lt;'WBS Schedule'!$H$59,0,MIN(1,NETWORKDAYS('WBS Schedule'!$H$59,$C$21,Holidays)/'WBS Schedule'!$G$59))*'WBS Schedule'!$P$59</f>
        <v>0</v>
      </c>
      <c r="S113" s="123" t="n">
        <f aca="false">IF($C$22&lt;'WBS Schedule'!$H$59,0,MIN(1,NETWORKDAYS('WBS Schedule'!$H$59,$C$22,Holidays)/'WBS Schedule'!$G$59))*'WBS Schedule'!$P$59</f>
        <v>2.88</v>
      </c>
      <c r="T113" s="123" t="n">
        <f aca="false">IF($C$23&lt;'WBS Schedule'!$H$59,0,MIN(1,NETWORKDAYS('WBS Schedule'!$H$59,$C$23,Holidays)/'WBS Schedule'!$G$59))*'WBS Schedule'!$P$59</f>
        <v>2.88</v>
      </c>
      <c r="U113" s="123" t="n">
        <f aca="false">IF($C$24&lt;'WBS Schedule'!$H$59,0,MIN(1,NETWORKDAYS('WBS Schedule'!$H$59,$C$24,Holidays)/'WBS Schedule'!$G$59))*'WBS Schedule'!$P$59</f>
        <v>2.88</v>
      </c>
      <c r="V113" s="123" t="n">
        <f aca="false">IF($C$25&lt;'WBS Schedule'!$H$59,0,MIN(1,NETWORKDAYS('WBS Schedule'!$H$59,$C$25,Holidays)/'WBS Schedule'!$G$59))*'WBS Schedule'!$P$59</f>
        <v>2.88</v>
      </c>
    </row>
    <row r="114" customFormat="false" ht="15" hidden="false" customHeight="false" outlineLevel="0" collapsed="false">
      <c r="A114" s="0" t="str">
        <f aca="false">'WBS Schedule'!A60</f>
        <v>5.4</v>
      </c>
      <c r="B114" s="123" t="n">
        <f aca="false">IF($C$5&lt;'WBS Schedule'!$H$60,0,MIN(1,NETWORKDAYS('WBS Schedule'!$H$60,$C$5,Holidays)/'WBS Schedule'!$G$60))*'WBS Schedule'!$P$60</f>
        <v>0</v>
      </c>
      <c r="C114" s="123" t="n">
        <f aca="false">IF($C$6&lt;'WBS Schedule'!$H$60,0,MIN(1,NETWORKDAYS('WBS Schedule'!$H$60,$C$6,Holidays)/'WBS Schedule'!$G$60))*'WBS Schedule'!$P$60</f>
        <v>0</v>
      </c>
      <c r="D114" s="123" t="n">
        <f aca="false">IF($C$7&lt;'WBS Schedule'!$H$60,0,MIN(1,NETWORKDAYS('WBS Schedule'!$H$60,$C$7,Holidays)/'WBS Schedule'!$G$60))*'WBS Schedule'!$P$60</f>
        <v>0</v>
      </c>
      <c r="E114" s="123" t="n">
        <f aca="false">IF($C$8&lt;'WBS Schedule'!$H$60,0,MIN(1,NETWORKDAYS('WBS Schedule'!$H$60,$C$8,Holidays)/'WBS Schedule'!$G$60))*'WBS Schedule'!$P$60</f>
        <v>0</v>
      </c>
      <c r="F114" s="123" t="n">
        <f aca="false">IF($C$9&lt;'WBS Schedule'!$H$60,0,MIN(1,NETWORKDAYS('WBS Schedule'!$H$60,$C$9,Holidays)/'WBS Schedule'!$G$60))*'WBS Schedule'!$P$60</f>
        <v>0</v>
      </c>
      <c r="G114" s="123" t="n">
        <f aca="false">IF($C$10&lt;'WBS Schedule'!$H$60,0,MIN(1,NETWORKDAYS('WBS Schedule'!$H$60,$C$10,Holidays)/'WBS Schedule'!$G$60))*'WBS Schedule'!$P$60</f>
        <v>0</v>
      </c>
      <c r="H114" s="123" t="n">
        <f aca="false">IF($C$11&lt;'WBS Schedule'!$H$60,0,MIN(1,NETWORKDAYS('WBS Schedule'!$H$60,$C$11,Holidays)/'WBS Schedule'!$G$60))*'WBS Schedule'!$P$60</f>
        <v>0</v>
      </c>
      <c r="I114" s="123" t="n">
        <f aca="false">IF($C$12&lt;'WBS Schedule'!$H$60,0,MIN(1,NETWORKDAYS('WBS Schedule'!$H$60,$C$12,Holidays)/'WBS Schedule'!$G$60))*'WBS Schedule'!$P$60</f>
        <v>0</v>
      </c>
      <c r="J114" s="123" t="n">
        <f aca="false">IF($C$13&lt;'WBS Schedule'!$H$60,0,MIN(1,NETWORKDAYS('WBS Schedule'!$H$60,$C$13,Holidays)/'WBS Schedule'!$G$60))*'WBS Schedule'!$P$60</f>
        <v>0</v>
      </c>
      <c r="K114" s="123" t="n">
        <f aca="false">IF($C$14&lt;'WBS Schedule'!$H$60,0,MIN(1,NETWORKDAYS('WBS Schedule'!$H$60,$C$14,Holidays)/'WBS Schedule'!$G$60))*'WBS Schedule'!$P$60</f>
        <v>0</v>
      </c>
      <c r="L114" s="123" t="n">
        <f aca="false">IF($C$15&lt;'WBS Schedule'!$H$60,0,MIN(1,NETWORKDAYS('WBS Schedule'!$H$60,$C$15,Holidays)/'WBS Schedule'!$G$60))*'WBS Schedule'!$P$60</f>
        <v>0</v>
      </c>
      <c r="M114" s="123" t="n">
        <f aca="false">IF($C$16&lt;'WBS Schedule'!$H$60,0,MIN(1,NETWORKDAYS('WBS Schedule'!$H$60,$C$16,Holidays)/'WBS Schedule'!$G$60))*'WBS Schedule'!$P$60</f>
        <v>0</v>
      </c>
      <c r="N114" s="123" t="n">
        <f aca="false">IF($C$17&lt;'WBS Schedule'!$H$60,0,MIN(1,NETWORKDAYS('WBS Schedule'!$H$60,$C$17,Holidays)/'WBS Schedule'!$G$60))*'WBS Schedule'!$P$60</f>
        <v>0</v>
      </c>
      <c r="O114" s="123" t="n">
        <f aca="false">IF($C$18&lt;'WBS Schedule'!$H$60,0,MIN(1,NETWORKDAYS('WBS Schedule'!$H$60,$C$18,Holidays)/'WBS Schedule'!$G$60))*'WBS Schedule'!$P$60</f>
        <v>0</v>
      </c>
      <c r="P114" s="123" t="n">
        <f aca="false">IF($C$19&lt;'WBS Schedule'!$H$60,0,MIN(1,NETWORKDAYS('WBS Schedule'!$H$60,$C$19,Holidays)/'WBS Schedule'!$G$60))*'WBS Schedule'!$P$60</f>
        <v>0</v>
      </c>
      <c r="Q114" s="123" t="n">
        <f aca="false">IF($C$20&lt;'WBS Schedule'!$H$60,0,MIN(1,NETWORKDAYS('WBS Schedule'!$H$60,$C$20,Holidays)/'WBS Schedule'!$G$60))*'WBS Schedule'!$P$60</f>
        <v>0</v>
      </c>
      <c r="R114" s="123" t="n">
        <f aca="false">IF($C$21&lt;'WBS Schedule'!$H$60,0,MIN(1,NETWORKDAYS('WBS Schedule'!$H$60,$C$21,Holidays)/'WBS Schedule'!$G$60))*'WBS Schedule'!$P$60</f>
        <v>0</v>
      </c>
      <c r="S114" s="123" t="n">
        <f aca="false">IF($C$22&lt;'WBS Schedule'!$H$60,0,MIN(1,NETWORKDAYS('WBS Schedule'!$H$60,$C$22,Holidays)/'WBS Schedule'!$G$60))*'WBS Schedule'!$P$60</f>
        <v>0</v>
      </c>
      <c r="T114" s="123" t="n">
        <f aca="false">IF($C$23&lt;'WBS Schedule'!$H$60,0,MIN(1,NETWORKDAYS('WBS Schedule'!$H$60,$C$23,Holidays)/'WBS Schedule'!$G$60))*'WBS Schedule'!$P$60</f>
        <v>1.28</v>
      </c>
      <c r="U114" s="123" t="n">
        <f aca="false">IF($C$24&lt;'WBS Schedule'!$H$60,0,MIN(1,NETWORKDAYS('WBS Schedule'!$H$60,$C$24,Holidays)/'WBS Schedule'!$G$60))*'WBS Schedule'!$P$60</f>
        <v>1.28</v>
      </c>
      <c r="V114" s="123" t="n">
        <f aca="false">IF($C$25&lt;'WBS Schedule'!$H$60,0,MIN(1,NETWORKDAYS('WBS Schedule'!$H$60,$C$25,Holidays)/'WBS Schedule'!$G$60))*'WBS Schedule'!$P$60</f>
        <v>1.28</v>
      </c>
    </row>
    <row r="115" customFormat="false" ht="15" hidden="false" customHeight="false" outlineLevel="0" collapsed="false">
      <c r="A115" s="0" t="str">
        <f aca="false">'WBS Schedule'!A61</f>
        <v>5.5</v>
      </c>
      <c r="B115" s="123" t="n">
        <f aca="false">IF($C$5&lt;'WBS Schedule'!$H$61,0,MIN(1,NETWORKDAYS('WBS Schedule'!$H$61,$C$5,Holidays)/'WBS Schedule'!$G$61))*'WBS Schedule'!$P$61</f>
        <v>0</v>
      </c>
      <c r="C115" s="123" t="n">
        <f aca="false">IF($C$6&lt;'WBS Schedule'!$H$61,0,MIN(1,NETWORKDAYS('WBS Schedule'!$H$61,$C$6,Holidays)/'WBS Schedule'!$G$61))*'WBS Schedule'!$P$61</f>
        <v>0</v>
      </c>
      <c r="D115" s="123" t="n">
        <f aca="false">IF($C$7&lt;'WBS Schedule'!$H$61,0,MIN(1,NETWORKDAYS('WBS Schedule'!$H$61,$C$7,Holidays)/'WBS Schedule'!$G$61))*'WBS Schedule'!$P$61</f>
        <v>0</v>
      </c>
      <c r="E115" s="123" t="n">
        <f aca="false">IF($C$8&lt;'WBS Schedule'!$H$61,0,MIN(1,NETWORKDAYS('WBS Schedule'!$H$61,$C$8,Holidays)/'WBS Schedule'!$G$61))*'WBS Schedule'!$P$61</f>
        <v>0</v>
      </c>
      <c r="F115" s="123" t="n">
        <f aca="false">IF($C$9&lt;'WBS Schedule'!$H$61,0,MIN(1,NETWORKDAYS('WBS Schedule'!$H$61,$C$9,Holidays)/'WBS Schedule'!$G$61))*'WBS Schedule'!$P$61</f>
        <v>0</v>
      </c>
      <c r="G115" s="123" t="n">
        <f aca="false">IF($C$10&lt;'WBS Schedule'!$H$61,0,MIN(1,NETWORKDAYS('WBS Schedule'!$H$61,$C$10,Holidays)/'WBS Schedule'!$G$61))*'WBS Schedule'!$P$61</f>
        <v>0</v>
      </c>
      <c r="H115" s="123" t="n">
        <f aca="false">IF($C$11&lt;'WBS Schedule'!$H$61,0,MIN(1,NETWORKDAYS('WBS Schedule'!$H$61,$C$11,Holidays)/'WBS Schedule'!$G$61))*'WBS Schedule'!$P$61</f>
        <v>0</v>
      </c>
      <c r="I115" s="123" t="n">
        <f aca="false">IF($C$12&lt;'WBS Schedule'!$H$61,0,MIN(1,NETWORKDAYS('WBS Schedule'!$H$61,$C$12,Holidays)/'WBS Schedule'!$G$61))*'WBS Schedule'!$P$61</f>
        <v>0</v>
      </c>
      <c r="J115" s="123" t="n">
        <f aca="false">IF($C$13&lt;'WBS Schedule'!$H$61,0,MIN(1,NETWORKDAYS('WBS Schedule'!$H$61,$C$13,Holidays)/'WBS Schedule'!$G$61))*'WBS Schedule'!$P$61</f>
        <v>0</v>
      </c>
      <c r="K115" s="123" t="n">
        <f aca="false">IF($C$14&lt;'WBS Schedule'!$H$61,0,MIN(1,NETWORKDAYS('WBS Schedule'!$H$61,$C$14,Holidays)/'WBS Schedule'!$G$61))*'WBS Schedule'!$P$61</f>
        <v>0</v>
      </c>
      <c r="L115" s="123" t="n">
        <f aca="false">IF($C$15&lt;'WBS Schedule'!$H$61,0,MIN(1,NETWORKDAYS('WBS Schedule'!$H$61,$C$15,Holidays)/'WBS Schedule'!$G$61))*'WBS Schedule'!$P$61</f>
        <v>0</v>
      </c>
      <c r="M115" s="123" t="n">
        <f aca="false">IF($C$16&lt;'WBS Schedule'!$H$61,0,MIN(1,NETWORKDAYS('WBS Schedule'!$H$61,$C$16,Holidays)/'WBS Schedule'!$G$61))*'WBS Schedule'!$P$61</f>
        <v>0</v>
      </c>
      <c r="N115" s="123" t="n">
        <f aca="false">IF($C$17&lt;'WBS Schedule'!$H$61,0,MIN(1,NETWORKDAYS('WBS Schedule'!$H$61,$C$17,Holidays)/'WBS Schedule'!$G$61))*'WBS Schedule'!$P$61</f>
        <v>0</v>
      </c>
      <c r="O115" s="123" t="n">
        <f aca="false">IF($C$18&lt;'WBS Schedule'!$H$61,0,MIN(1,NETWORKDAYS('WBS Schedule'!$H$61,$C$18,Holidays)/'WBS Schedule'!$G$61))*'WBS Schedule'!$P$61</f>
        <v>0</v>
      </c>
      <c r="P115" s="123" t="n">
        <f aca="false">IF($C$19&lt;'WBS Schedule'!$H$61,0,MIN(1,NETWORKDAYS('WBS Schedule'!$H$61,$C$19,Holidays)/'WBS Schedule'!$G$61))*'WBS Schedule'!$P$61</f>
        <v>0</v>
      </c>
      <c r="Q115" s="123" t="n">
        <f aca="false">IF($C$20&lt;'WBS Schedule'!$H$61,0,MIN(1,NETWORKDAYS('WBS Schedule'!$H$61,$C$20,Holidays)/'WBS Schedule'!$G$61))*'WBS Schedule'!$P$61</f>
        <v>0</v>
      </c>
      <c r="R115" s="123" t="n">
        <f aca="false">IF($C$21&lt;'WBS Schedule'!$H$61,0,MIN(1,NETWORKDAYS('WBS Schedule'!$H$61,$C$21,Holidays)/'WBS Schedule'!$G$61))*'WBS Schedule'!$P$61</f>
        <v>0</v>
      </c>
      <c r="S115" s="123" t="n">
        <f aca="false">IF($C$22&lt;'WBS Schedule'!$H$61,0,MIN(1,NETWORKDAYS('WBS Schedule'!$H$61,$C$22,Holidays)/'WBS Schedule'!$G$61))*'WBS Schedule'!$P$61</f>
        <v>0</v>
      </c>
      <c r="T115" s="123" t="n">
        <f aca="false">IF($C$23&lt;'WBS Schedule'!$H$61,0,MIN(1,NETWORKDAYS('WBS Schedule'!$H$61,$C$23,Holidays)/'WBS Schedule'!$G$61))*'WBS Schedule'!$P$61</f>
        <v>2.56</v>
      </c>
      <c r="U115" s="123" t="n">
        <f aca="false">IF($C$24&lt;'WBS Schedule'!$H$61,0,MIN(1,NETWORKDAYS('WBS Schedule'!$H$61,$C$24,Holidays)/'WBS Schedule'!$G$61))*'WBS Schedule'!$P$61</f>
        <v>5.12</v>
      </c>
      <c r="V115" s="123" t="n">
        <f aca="false">IF($C$25&lt;'WBS Schedule'!$H$61,0,MIN(1,NETWORKDAYS('WBS Schedule'!$H$61,$C$25,Holidays)/'WBS Schedule'!$G$61))*'WBS Schedule'!$P$61</f>
        <v>5.12</v>
      </c>
    </row>
    <row r="116" customFormat="false" ht="15" hidden="false" customHeight="false" outlineLevel="0" collapsed="false">
      <c r="A116" s="0" t="str">
        <f aca="false">'WBS Schedule'!A62</f>
        <v>5.6</v>
      </c>
      <c r="B116" s="123" t="n">
        <f aca="false">IF($C$5&lt;'WBS Schedule'!$H$62,0,MIN(1,NETWORKDAYS('WBS Schedule'!$H$62,$C$5,Holidays)/'WBS Schedule'!$G$62))*'WBS Schedule'!$P$62</f>
        <v>0</v>
      </c>
      <c r="C116" s="123" t="n">
        <f aca="false">IF($C$6&lt;'WBS Schedule'!$H$62,0,MIN(1,NETWORKDAYS('WBS Schedule'!$H$62,$C$6,Holidays)/'WBS Schedule'!$G$62))*'WBS Schedule'!$P$62</f>
        <v>0</v>
      </c>
      <c r="D116" s="123" t="n">
        <f aca="false">IF($C$7&lt;'WBS Schedule'!$H$62,0,MIN(1,NETWORKDAYS('WBS Schedule'!$H$62,$C$7,Holidays)/'WBS Schedule'!$G$62))*'WBS Schedule'!$P$62</f>
        <v>0</v>
      </c>
      <c r="E116" s="123" t="n">
        <f aca="false">IF($C$8&lt;'WBS Schedule'!$H$62,0,MIN(1,NETWORKDAYS('WBS Schedule'!$H$62,$C$8,Holidays)/'WBS Schedule'!$G$62))*'WBS Schedule'!$P$62</f>
        <v>0</v>
      </c>
      <c r="F116" s="123" t="n">
        <f aca="false">IF($C$9&lt;'WBS Schedule'!$H$62,0,MIN(1,NETWORKDAYS('WBS Schedule'!$H$62,$C$9,Holidays)/'WBS Schedule'!$G$62))*'WBS Schedule'!$P$62</f>
        <v>0</v>
      </c>
      <c r="G116" s="123" t="n">
        <f aca="false">IF($C$10&lt;'WBS Schedule'!$H$62,0,MIN(1,NETWORKDAYS('WBS Schedule'!$H$62,$C$10,Holidays)/'WBS Schedule'!$G$62))*'WBS Schedule'!$P$62</f>
        <v>0</v>
      </c>
      <c r="H116" s="123" t="n">
        <f aca="false">IF($C$11&lt;'WBS Schedule'!$H$62,0,MIN(1,NETWORKDAYS('WBS Schedule'!$H$62,$C$11,Holidays)/'WBS Schedule'!$G$62))*'WBS Schedule'!$P$62</f>
        <v>0</v>
      </c>
      <c r="I116" s="123" t="n">
        <f aca="false">IF($C$12&lt;'WBS Schedule'!$H$62,0,MIN(1,NETWORKDAYS('WBS Schedule'!$H$62,$C$12,Holidays)/'WBS Schedule'!$G$62))*'WBS Schedule'!$P$62</f>
        <v>0</v>
      </c>
      <c r="J116" s="123" t="n">
        <f aca="false">IF($C$13&lt;'WBS Schedule'!$H$62,0,MIN(1,NETWORKDAYS('WBS Schedule'!$H$62,$C$13,Holidays)/'WBS Schedule'!$G$62))*'WBS Schedule'!$P$62</f>
        <v>0</v>
      </c>
      <c r="K116" s="123" t="n">
        <f aca="false">IF($C$14&lt;'WBS Schedule'!$H$62,0,MIN(1,NETWORKDAYS('WBS Schedule'!$H$62,$C$14,Holidays)/'WBS Schedule'!$G$62))*'WBS Schedule'!$P$62</f>
        <v>0</v>
      </c>
      <c r="L116" s="123" t="n">
        <f aca="false">IF($C$15&lt;'WBS Schedule'!$H$62,0,MIN(1,NETWORKDAYS('WBS Schedule'!$H$62,$C$15,Holidays)/'WBS Schedule'!$G$62))*'WBS Schedule'!$P$62</f>
        <v>0</v>
      </c>
      <c r="M116" s="123" t="n">
        <f aca="false">IF($C$16&lt;'WBS Schedule'!$H$62,0,MIN(1,NETWORKDAYS('WBS Schedule'!$H$62,$C$16,Holidays)/'WBS Schedule'!$G$62))*'WBS Schedule'!$P$62</f>
        <v>0</v>
      </c>
      <c r="N116" s="123" t="n">
        <f aca="false">IF($C$17&lt;'WBS Schedule'!$H$62,0,MIN(1,NETWORKDAYS('WBS Schedule'!$H$62,$C$17,Holidays)/'WBS Schedule'!$G$62))*'WBS Schedule'!$P$62</f>
        <v>0</v>
      </c>
      <c r="O116" s="123" t="n">
        <f aca="false">IF($C$18&lt;'WBS Schedule'!$H$62,0,MIN(1,NETWORKDAYS('WBS Schedule'!$H$62,$C$18,Holidays)/'WBS Schedule'!$G$62))*'WBS Schedule'!$P$62</f>
        <v>0</v>
      </c>
      <c r="P116" s="123" t="n">
        <f aca="false">IF($C$19&lt;'WBS Schedule'!$H$62,0,MIN(1,NETWORKDAYS('WBS Schedule'!$H$62,$C$19,Holidays)/'WBS Schedule'!$G$62))*'WBS Schedule'!$P$62</f>
        <v>0</v>
      </c>
      <c r="Q116" s="123" t="n">
        <f aca="false">IF($C$20&lt;'WBS Schedule'!$H$62,0,MIN(1,NETWORKDAYS('WBS Schedule'!$H$62,$C$20,Holidays)/'WBS Schedule'!$G$62))*'WBS Schedule'!$P$62</f>
        <v>0</v>
      </c>
      <c r="R116" s="123" t="n">
        <f aca="false">IF($C$21&lt;'WBS Schedule'!$H$62,0,MIN(1,NETWORKDAYS('WBS Schedule'!$H$62,$C$21,Holidays)/'WBS Schedule'!$G$62))*'WBS Schedule'!$P$62</f>
        <v>0</v>
      </c>
      <c r="S116" s="123" t="n">
        <f aca="false">IF($C$22&lt;'WBS Schedule'!$H$62,0,MIN(1,NETWORKDAYS('WBS Schedule'!$H$62,$C$22,Holidays)/'WBS Schedule'!$G$62))*'WBS Schedule'!$P$62</f>
        <v>1.92</v>
      </c>
      <c r="T116" s="123" t="n">
        <f aca="false">IF($C$23&lt;'WBS Schedule'!$H$62,0,MIN(1,NETWORKDAYS('WBS Schedule'!$H$62,$C$23,Holidays)/'WBS Schedule'!$G$62))*'WBS Schedule'!$P$62</f>
        <v>1.92</v>
      </c>
      <c r="U116" s="123" t="n">
        <f aca="false">IF($C$24&lt;'WBS Schedule'!$H$62,0,MIN(1,NETWORKDAYS('WBS Schedule'!$H$62,$C$24,Holidays)/'WBS Schedule'!$G$62))*'WBS Schedule'!$P$62</f>
        <v>1.92</v>
      </c>
      <c r="V116" s="123" t="n">
        <f aca="false">IF($C$25&lt;'WBS Schedule'!$H$62,0,MIN(1,NETWORKDAYS('WBS Schedule'!$H$62,$C$25,Holidays)/'WBS Schedule'!$G$62))*'WBS Schedule'!$P$62</f>
        <v>1.92</v>
      </c>
    </row>
    <row r="117" customFormat="false" ht="15" hidden="false" customHeight="false" outlineLevel="0" collapsed="false">
      <c r="A117" s="0" t="str">
        <f aca="false">'WBS Schedule'!A63</f>
        <v>5.7</v>
      </c>
      <c r="B117" s="123" t="n">
        <f aca="false">IF($C$5&lt;'WBS Schedule'!$H$63,0,MIN(1,NETWORKDAYS('WBS Schedule'!$H$63,$C$5,Holidays)/'WBS Schedule'!$G$63))*'WBS Schedule'!$P$63</f>
        <v>0</v>
      </c>
      <c r="C117" s="123" t="n">
        <f aca="false">IF($C$6&lt;'WBS Schedule'!$H$63,0,MIN(1,NETWORKDAYS('WBS Schedule'!$H$63,$C$6,Holidays)/'WBS Schedule'!$G$63))*'WBS Schedule'!$P$63</f>
        <v>0</v>
      </c>
      <c r="D117" s="123" t="n">
        <f aca="false">IF($C$7&lt;'WBS Schedule'!$H$63,0,MIN(1,NETWORKDAYS('WBS Schedule'!$H$63,$C$7,Holidays)/'WBS Schedule'!$G$63))*'WBS Schedule'!$P$63</f>
        <v>0</v>
      </c>
      <c r="E117" s="123" t="n">
        <f aca="false">IF($C$8&lt;'WBS Schedule'!$H$63,0,MIN(1,NETWORKDAYS('WBS Schedule'!$H$63,$C$8,Holidays)/'WBS Schedule'!$G$63))*'WBS Schedule'!$P$63</f>
        <v>0</v>
      </c>
      <c r="F117" s="123" t="n">
        <f aca="false">IF($C$9&lt;'WBS Schedule'!$H$63,0,MIN(1,NETWORKDAYS('WBS Schedule'!$H$63,$C$9,Holidays)/'WBS Schedule'!$G$63))*'WBS Schedule'!$P$63</f>
        <v>0</v>
      </c>
      <c r="G117" s="123" t="n">
        <f aca="false">IF($C$10&lt;'WBS Schedule'!$H$63,0,MIN(1,NETWORKDAYS('WBS Schedule'!$H$63,$C$10,Holidays)/'WBS Schedule'!$G$63))*'WBS Schedule'!$P$63</f>
        <v>0</v>
      </c>
      <c r="H117" s="123" t="n">
        <f aca="false">IF($C$11&lt;'WBS Schedule'!$H$63,0,MIN(1,NETWORKDAYS('WBS Schedule'!$H$63,$C$11,Holidays)/'WBS Schedule'!$G$63))*'WBS Schedule'!$P$63</f>
        <v>0</v>
      </c>
      <c r="I117" s="123" t="n">
        <f aca="false">IF($C$12&lt;'WBS Schedule'!$H$63,0,MIN(1,NETWORKDAYS('WBS Schedule'!$H$63,$C$12,Holidays)/'WBS Schedule'!$G$63))*'WBS Schedule'!$P$63</f>
        <v>0</v>
      </c>
      <c r="J117" s="123" t="n">
        <f aca="false">IF($C$13&lt;'WBS Schedule'!$H$63,0,MIN(1,NETWORKDAYS('WBS Schedule'!$H$63,$C$13,Holidays)/'WBS Schedule'!$G$63))*'WBS Schedule'!$P$63</f>
        <v>0</v>
      </c>
      <c r="K117" s="123" t="n">
        <f aca="false">IF($C$14&lt;'WBS Schedule'!$H$63,0,MIN(1,NETWORKDAYS('WBS Schedule'!$H$63,$C$14,Holidays)/'WBS Schedule'!$G$63))*'WBS Schedule'!$P$63</f>
        <v>0</v>
      </c>
      <c r="L117" s="123" t="n">
        <f aca="false">IF($C$15&lt;'WBS Schedule'!$H$63,0,MIN(1,NETWORKDAYS('WBS Schedule'!$H$63,$C$15,Holidays)/'WBS Schedule'!$G$63))*'WBS Schedule'!$P$63</f>
        <v>0</v>
      </c>
      <c r="M117" s="123" t="n">
        <f aca="false">IF($C$16&lt;'WBS Schedule'!$H$63,0,MIN(1,NETWORKDAYS('WBS Schedule'!$H$63,$C$16,Holidays)/'WBS Schedule'!$G$63))*'WBS Schedule'!$P$63</f>
        <v>0</v>
      </c>
      <c r="N117" s="123" t="n">
        <f aca="false">IF($C$17&lt;'WBS Schedule'!$H$63,0,MIN(1,NETWORKDAYS('WBS Schedule'!$H$63,$C$17,Holidays)/'WBS Schedule'!$G$63))*'WBS Schedule'!$P$63</f>
        <v>0</v>
      </c>
      <c r="O117" s="123" t="n">
        <f aca="false">IF($C$18&lt;'WBS Schedule'!$H$63,0,MIN(1,NETWORKDAYS('WBS Schedule'!$H$63,$C$18,Holidays)/'WBS Schedule'!$G$63))*'WBS Schedule'!$P$63</f>
        <v>0</v>
      </c>
      <c r="P117" s="123" t="n">
        <f aca="false">IF($C$19&lt;'WBS Schedule'!$H$63,0,MIN(1,NETWORKDAYS('WBS Schedule'!$H$63,$C$19,Holidays)/'WBS Schedule'!$G$63))*'WBS Schedule'!$P$63</f>
        <v>0</v>
      </c>
      <c r="Q117" s="123" t="n">
        <f aca="false">IF($C$20&lt;'WBS Schedule'!$H$63,0,MIN(1,NETWORKDAYS('WBS Schedule'!$H$63,$C$20,Holidays)/'WBS Schedule'!$G$63))*'WBS Schedule'!$P$63</f>
        <v>0</v>
      </c>
      <c r="R117" s="123" t="n">
        <f aca="false">IF($C$21&lt;'WBS Schedule'!$H$63,0,MIN(1,NETWORKDAYS('WBS Schedule'!$H$63,$C$21,Holidays)/'WBS Schedule'!$G$63))*'WBS Schedule'!$P$63</f>
        <v>0</v>
      </c>
      <c r="S117" s="123" t="n">
        <f aca="false">IF($C$22&lt;'WBS Schedule'!$H$63,0,MIN(1,NETWORKDAYS('WBS Schedule'!$H$63,$C$22,Holidays)/'WBS Schedule'!$G$63))*'WBS Schedule'!$P$63</f>
        <v>0</v>
      </c>
      <c r="T117" s="123" t="n">
        <f aca="false">IF($C$23&lt;'WBS Schedule'!$H$63,0,MIN(1,NETWORKDAYS('WBS Schedule'!$H$63,$C$23,Holidays)/'WBS Schedule'!$G$63))*'WBS Schedule'!$P$63</f>
        <v>0</v>
      </c>
      <c r="U117" s="123" t="n">
        <f aca="false">IF($C$24&lt;'WBS Schedule'!$H$63,0,MIN(1,NETWORKDAYS('WBS Schedule'!$H$63,$C$24,Holidays)/'WBS Schedule'!$G$63))*'WBS Schedule'!$P$63</f>
        <v>1.28</v>
      </c>
      <c r="V117" s="123" t="n">
        <f aca="false">IF($C$25&lt;'WBS Schedule'!$H$63,0,MIN(1,NETWORKDAYS('WBS Schedule'!$H$63,$C$25,Holidays)/'WBS Schedule'!$G$63))*'WBS Schedule'!$P$63</f>
        <v>1.28</v>
      </c>
    </row>
    <row r="118" customFormat="false" ht="15" hidden="false" customHeight="false" outlineLevel="0" collapsed="false">
      <c r="A118" s="0" t="str">
        <f aca="false">'WBS Schedule'!A64</f>
        <v>5.8</v>
      </c>
      <c r="B118" s="123" t="n">
        <f aca="false">IF($C$5&lt;'WBS Schedule'!$H$64,0,MIN(1,NETWORKDAYS('WBS Schedule'!$H$64,$C$5,Holidays)/'WBS Schedule'!$G$64))*'WBS Schedule'!$P$64</f>
        <v>0</v>
      </c>
      <c r="C118" s="123" t="n">
        <f aca="false">IF($C$6&lt;'WBS Schedule'!$H$64,0,MIN(1,NETWORKDAYS('WBS Schedule'!$H$64,$C$6,Holidays)/'WBS Schedule'!$G$64))*'WBS Schedule'!$P$64</f>
        <v>0</v>
      </c>
      <c r="D118" s="123" t="n">
        <f aca="false">IF($C$7&lt;'WBS Schedule'!$H$64,0,MIN(1,NETWORKDAYS('WBS Schedule'!$H$64,$C$7,Holidays)/'WBS Schedule'!$G$64))*'WBS Schedule'!$P$64</f>
        <v>0</v>
      </c>
      <c r="E118" s="123" t="n">
        <f aca="false">IF($C$8&lt;'WBS Schedule'!$H$64,0,MIN(1,NETWORKDAYS('WBS Schedule'!$H$64,$C$8,Holidays)/'WBS Schedule'!$G$64))*'WBS Schedule'!$P$64</f>
        <v>0</v>
      </c>
      <c r="F118" s="123" t="n">
        <f aca="false">IF($C$9&lt;'WBS Schedule'!$H$64,0,MIN(1,NETWORKDAYS('WBS Schedule'!$H$64,$C$9,Holidays)/'WBS Schedule'!$G$64))*'WBS Schedule'!$P$64</f>
        <v>0</v>
      </c>
      <c r="G118" s="123" t="n">
        <f aca="false">IF($C$10&lt;'WBS Schedule'!$H$64,0,MIN(1,NETWORKDAYS('WBS Schedule'!$H$64,$C$10,Holidays)/'WBS Schedule'!$G$64))*'WBS Schedule'!$P$64</f>
        <v>0</v>
      </c>
      <c r="H118" s="123" t="n">
        <f aca="false">IF($C$11&lt;'WBS Schedule'!$H$64,0,MIN(1,NETWORKDAYS('WBS Schedule'!$H$64,$C$11,Holidays)/'WBS Schedule'!$G$64))*'WBS Schedule'!$P$64</f>
        <v>0</v>
      </c>
      <c r="I118" s="123" t="n">
        <f aca="false">IF($C$12&lt;'WBS Schedule'!$H$64,0,MIN(1,NETWORKDAYS('WBS Schedule'!$H$64,$C$12,Holidays)/'WBS Schedule'!$G$64))*'WBS Schedule'!$P$64</f>
        <v>0</v>
      </c>
      <c r="J118" s="123" t="n">
        <f aca="false">IF($C$13&lt;'WBS Schedule'!$H$64,0,MIN(1,NETWORKDAYS('WBS Schedule'!$H$64,$C$13,Holidays)/'WBS Schedule'!$G$64))*'WBS Schedule'!$P$64</f>
        <v>0</v>
      </c>
      <c r="K118" s="123" t="n">
        <f aca="false">IF($C$14&lt;'WBS Schedule'!$H$64,0,MIN(1,NETWORKDAYS('WBS Schedule'!$H$64,$C$14,Holidays)/'WBS Schedule'!$G$64))*'WBS Schedule'!$P$64</f>
        <v>0</v>
      </c>
      <c r="L118" s="123" t="n">
        <f aca="false">IF($C$15&lt;'WBS Schedule'!$H$64,0,MIN(1,NETWORKDAYS('WBS Schedule'!$H$64,$C$15,Holidays)/'WBS Schedule'!$G$64))*'WBS Schedule'!$P$64</f>
        <v>0</v>
      </c>
      <c r="M118" s="123" t="n">
        <f aca="false">IF($C$16&lt;'WBS Schedule'!$H$64,0,MIN(1,NETWORKDAYS('WBS Schedule'!$H$64,$C$16,Holidays)/'WBS Schedule'!$G$64))*'WBS Schedule'!$P$64</f>
        <v>0</v>
      </c>
      <c r="N118" s="123" t="n">
        <f aca="false">IF($C$17&lt;'WBS Schedule'!$H$64,0,MIN(1,NETWORKDAYS('WBS Schedule'!$H$64,$C$17,Holidays)/'WBS Schedule'!$G$64))*'WBS Schedule'!$P$64</f>
        <v>0</v>
      </c>
      <c r="O118" s="123" t="n">
        <f aca="false">IF($C$18&lt;'WBS Schedule'!$H$64,0,MIN(1,NETWORKDAYS('WBS Schedule'!$H$64,$C$18,Holidays)/'WBS Schedule'!$G$64))*'WBS Schedule'!$P$64</f>
        <v>0</v>
      </c>
      <c r="P118" s="123" t="n">
        <f aca="false">IF($C$19&lt;'WBS Schedule'!$H$64,0,MIN(1,NETWORKDAYS('WBS Schedule'!$H$64,$C$19,Holidays)/'WBS Schedule'!$G$64))*'WBS Schedule'!$P$64</f>
        <v>0</v>
      </c>
      <c r="Q118" s="123" t="n">
        <f aca="false">IF($C$20&lt;'WBS Schedule'!$H$64,0,MIN(1,NETWORKDAYS('WBS Schedule'!$H$64,$C$20,Holidays)/'WBS Schedule'!$G$64))*'WBS Schedule'!$P$64</f>
        <v>0</v>
      </c>
      <c r="R118" s="123" t="n">
        <f aca="false">IF($C$21&lt;'WBS Schedule'!$H$64,0,MIN(1,NETWORKDAYS('WBS Schedule'!$H$64,$C$21,Holidays)/'WBS Schedule'!$G$64))*'WBS Schedule'!$P$64</f>
        <v>0</v>
      </c>
      <c r="S118" s="123" t="n">
        <f aca="false">IF($C$22&lt;'WBS Schedule'!$H$64,0,MIN(1,NETWORKDAYS('WBS Schedule'!$H$64,$C$22,Holidays)/'WBS Schedule'!$G$64))*'WBS Schedule'!$P$64</f>
        <v>0</v>
      </c>
      <c r="T118" s="123" t="n">
        <f aca="false">IF($C$23&lt;'WBS Schedule'!$H$64,0,MIN(1,NETWORKDAYS('WBS Schedule'!$H$64,$C$23,Holidays)/'WBS Schedule'!$G$64))*'WBS Schedule'!$P$64</f>
        <v>0</v>
      </c>
      <c r="U118" s="123" t="n">
        <f aca="false">IF($C$24&lt;'WBS Schedule'!$H$64,0,MIN(1,NETWORKDAYS('WBS Schedule'!$H$64,$C$24,Holidays)/'WBS Schedule'!$G$64))*'WBS Schedule'!$P$64</f>
        <v>0.64</v>
      </c>
      <c r="V118" s="123" t="n">
        <f aca="false">IF($C$25&lt;'WBS Schedule'!$H$64,0,MIN(1,NETWORKDAYS('WBS Schedule'!$H$64,$C$25,Holidays)/'WBS Schedule'!$G$64))*'WBS Schedule'!$P$64</f>
        <v>1.28</v>
      </c>
    </row>
    <row r="119" customFormat="false" ht="15" hidden="false" customHeight="false" outlineLevel="0" collapsed="false">
      <c r="A119" s="0" t="str">
        <f aca="false">'WBS Schedule'!A65</f>
        <v>5.9</v>
      </c>
      <c r="B119" s="123" t="n">
        <f aca="false">IF($C$5&lt;'WBS Schedule'!$H$65,0,MIN(1,NETWORKDAYS('WBS Schedule'!$H$65,$C$5,Holidays)/'WBS Schedule'!$G$65))*'WBS Schedule'!$P$65</f>
        <v>0</v>
      </c>
      <c r="C119" s="123" t="n">
        <f aca="false">IF($C$6&lt;'WBS Schedule'!$H$65,0,MIN(1,NETWORKDAYS('WBS Schedule'!$H$65,$C$6,Holidays)/'WBS Schedule'!$G$65))*'WBS Schedule'!$P$65</f>
        <v>0</v>
      </c>
      <c r="D119" s="123" t="n">
        <f aca="false">IF($C$7&lt;'WBS Schedule'!$H$65,0,MIN(1,NETWORKDAYS('WBS Schedule'!$H$65,$C$7,Holidays)/'WBS Schedule'!$G$65))*'WBS Schedule'!$P$65</f>
        <v>0</v>
      </c>
      <c r="E119" s="123" t="n">
        <f aca="false">IF($C$8&lt;'WBS Schedule'!$H$65,0,MIN(1,NETWORKDAYS('WBS Schedule'!$H$65,$C$8,Holidays)/'WBS Schedule'!$G$65))*'WBS Schedule'!$P$65</f>
        <v>0</v>
      </c>
      <c r="F119" s="123" t="n">
        <f aca="false">IF($C$9&lt;'WBS Schedule'!$H$65,0,MIN(1,NETWORKDAYS('WBS Schedule'!$H$65,$C$9,Holidays)/'WBS Schedule'!$G$65))*'WBS Schedule'!$P$65</f>
        <v>0</v>
      </c>
      <c r="G119" s="123" t="n">
        <f aca="false">IF($C$10&lt;'WBS Schedule'!$H$65,0,MIN(1,NETWORKDAYS('WBS Schedule'!$H$65,$C$10,Holidays)/'WBS Schedule'!$G$65))*'WBS Schedule'!$P$65</f>
        <v>0</v>
      </c>
      <c r="H119" s="123" t="n">
        <f aca="false">IF($C$11&lt;'WBS Schedule'!$H$65,0,MIN(1,NETWORKDAYS('WBS Schedule'!$H$65,$C$11,Holidays)/'WBS Schedule'!$G$65))*'WBS Schedule'!$P$65</f>
        <v>0</v>
      </c>
      <c r="I119" s="123" t="n">
        <f aca="false">IF($C$12&lt;'WBS Schedule'!$H$65,0,MIN(1,NETWORKDAYS('WBS Schedule'!$H$65,$C$12,Holidays)/'WBS Schedule'!$G$65))*'WBS Schedule'!$P$65</f>
        <v>0</v>
      </c>
      <c r="J119" s="123" t="n">
        <f aca="false">IF($C$13&lt;'WBS Schedule'!$H$65,0,MIN(1,NETWORKDAYS('WBS Schedule'!$H$65,$C$13,Holidays)/'WBS Schedule'!$G$65))*'WBS Schedule'!$P$65</f>
        <v>0</v>
      </c>
      <c r="K119" s="123" t="n">
        <f aca="false">IF($C$14&lt;'WBS Schedule'!$H$65,0,MIN(1,NETWORKDAYS('WBS Schedule'!$H$65,$C$14,Holidays)/'WBS Schedule'!$G$65))*'WBS Schedule'!$P$65</f>
        <v>0</v>
      </c>
      <c r="L119" s="123" t="n">
        <f aca="false">IF($C$15&lt;'WBS Schedule'!$H$65,0,MIN(1,NETWORKDAYS('WBS Schedule'!$H$65,$C$15,Holidays)/'WBS Schedule'!$G$65))*'WBS Schedule'!$P$65</f>
        <v>0</v>
      </c>
      <c r="M119" s="123" t="n">
        <f aca="false">IF($C$16&lt;'WBS Schedule'!$H$65,0,MIN(1,NETWORKDAYS('WBS Schedule'!$H$65,$C$16,Holidays)/'WBS Schedule'!$G$65))*'WBS Schedule'!$P$65</f>
        <v>0</v>
      </c>
      <c r="N119" s="123" t="n">
        <f aca="false">IF($C$17&lt;'WBS Schedule'!$H$65,0,MIN(1,NETWORKDAYS('WBS Schedule'!$H$65,$C$17,Holidays)/'WBS Schedule'!$G$65))*'WBS Schedule'!$P$65</f>
        <v>0</v>
      </c>
      <c r="O119" s="123" t="n">
        <f aca="false">IF($C$18&lt;'WBS Schedule'!$H$65,0,MIN(1,NETWORKDAYS('WBS Schedule'!$H$65,$C$18,Holidays)/'WBS Schedule'!$G$65))*'WBS Schedule'!$P$65</f>
        <v>0</v>
      </c>
      <c r="P119" s="123" t="n">
        <f aca="false">IF($C$19&lt;'WBS Schedule'!$H$65,0,MIN(1,NETWORKDAYS('WBS Schedule'!$H$65,$C$19,Holidays)/'WBS Schedule'!$G$65))*'WBS Schedule'!$P$65</f>
        <v>0</v>
      </c>
      <c r="Q119" s="123" t="n">
        <f aca="false">IF($C$20&lt;'WBS Schedule'!$H$65,0,MIN(1,NETWORKDAYS('WBS Schedule'!$H$65,$C$20,Holidays)/'WBS Schedule'!$G$65))*'WBS Schedule'!$P$65</f>
        <v>0</v>
      </c>
      <c r="R119" s="123" t="n">
        <f aca="false">IF($C$21&lt;'WBS Schedule'!$H$65,0,MIN(1,NETWORKDAYS('WBS Schedule'!$H$65,$C$21,Holidays)/'WBS Schedule'!$G$65))*'WBS Schedule'!$P$65</f>
        <v>0</v>
      </c>
      <c r="S119" s="123" t="n">
        <f aca="false">IF($C$22&lt;'WBS Schedule'!$H$65,0,MIN(1,NETWORKDAYS('WBS Schedule'!$H$65,$C$22,Holidays)/'WBS Schedule'!$G$65))*'WBS Schedule'!$P$65</f>
        <v>0</v>
      </c>
      <c r="T119" s="123" t="n">
        <f aca="false">IF($C$23&lt;'WBS Schedule'!$H$65,0,MIN(1,NETWORKDAYS('WBS Schedule'!$H$65,$C$23,Holidays)/'WBS Schedule'!$G$65))*'WBS Schedule'!$P$65</f>
        <v>0</v>
      </c>
      <c r="U119" s="123" t="n">
        <f aca="false">IF($C$24&lt;'WBS Schedule'!$H$65,0,MIN(1,NETWORKDAYS('WBS Schedule'!$H$65,$C$24,Holidays)/'WBS Schedule'!$G$65))*'WBS Schedule'!$P$65</f>
        <v>0</v>
      </c>
      <c r="V119" s="123" t="n">
        <f aca="false">IF($C$25&lt;'WBS Schedule'!$H$65,0,MIN(1,NETWORKDAYS('WBS Schedule'!$H$65,$C$25,Holidays)/'WBS Schedule'!$G$65))*'WBS Schedule'!$P$65</f>
        <v>1.28</v>
      </c>
    </row>
    <row r="120" customFormat="false" ht="15" hidden="false" customHeight="false" outlineLevel="0" collapsed="false">
      <c r="A120" s="0" t="str">
        <f aca="false">'WBS Schedule'!A66</f>
        <v>5.10</v>
      </c>
      <c r="B120" s="123" t="n">
        <f aca="false">IF($C$5&lt;'WBS Schedule'!$H$66,0,MIN(1,NETWORKDAYS('WBS Schedule'!$H$66,$C$5,Holidays)/'WBS Schedule'!$G$66))*'WBS Schedule'!$P$66</f>
        <v>0</v>
      </c>
      <c r="C120" s="123" t="n">
        <f aca="false">IF($C$6&lt;'WBS Schedule'!$H$66,0,MIN(1,NETWORKDAYS('WBS Schedule'!$H$66,$C$6,Holidays)/'WBS Schedule'!$G$66))*'WBS Schedule'!$P$66</f>
        <v>0</v>
      </c>
      <c r="D120" s="123" t="n">
        <f aca="false">IF($C$7&lt;'WBS Schedule'!$H$66,0,MIN(1,NETWORKDAYS('WBS Schedule'!$H$66,$C$7,Holidays)/'WBS Schedule'!$G$66))*'WBS Schedule'!$P$66</f>
        <v>0</v>
      </c>
      <c r="E120" s="123" t="n">
        <f aca="false">IF($C$8&lt;'WBS Schedule'!$H$66,0,MIN(1,NETWORKDAYS('WBS Schedule'!$H$66,$C$8,Holidays)/'WBS Schedule'!$G$66))*'WBS Schedule'!$P$66</f>
        <v>0</v>
      </c>
      <c r="F120" s="123" t="n">
        <f aca="false">IF($C$9&lt;'WBS Schedule'!$H$66,0,MIN(1,NETWORKDAYS('WBS Schedule'!$H$66,$C$9,Holidays)/'WBS Schedule'!$G$66))*'WBS Schedule'!$P$66</f>
        <v>0</v>
      </c>
      <c r="G120" s="123" t="n">
        <f aca="false">IF($C$10&lt;'WBS Schedule'!$H$66,0,MIN(1,NETWORKDAYS('WBS Schedule'!$H$66,$C$10,Holidays)/'WBS Schedule'!$G$66))*'WBS Schedule'!$P$66</f>
        <v>0</v>
      </c>
      <c r="H120" s="123" t="n">
        <f aca="false">IF($C$11&lt;'WBS Schedule'!$H$66,0,MIN(1,NETWORKDAYS('WBS Schedule'!$H$66,$C$11,Holidays)/'WBS Schedule'!$G$66))*'WBS Schedule'!$P$66</f>
        <v>0</v>
      </c>
      <c r="I120" s="123" t="n">
        <f aca="false">IF($C$12&lt;'WBS Schedule'!$H$66,0,MIN(1,NETWORKDAYS('WBS Schedule'!$H$66,$C$12,Holidays)/'WBS Schedule'!$G$66))*'WBS Schedule'!$P$66</f>
        <v>0</v>
      </c>
      <c r="J120" s="123" t="n">
        <f aca="false">IF($C$13&lt;'WBS Schedule'!$H$66,0,MIN(1,NETWORKDAYS('WBS Schedule'!$H$66,$C$13,Holidays)/'WBS Schedule'!$G$66))*'WBS Schedule'!$P$66</f>
        <v>0</v>
      </c>
      <c r="K120" s="123" t="n">
        <f aca="false">IF($C$14&lt;'WBS Schedule'!$H$66,0,MIN(1,NETWORKDAYS('WBS Schedule'!$H$66,$C$14,Holidays)/'WBS Schedule'!$G$66))*'WBS Schedule'!$P$66</f>
        <v>0</v>
      </c>
      <c r="L120" s="123" t="n">
        <f aca="false">IF($C$15&lt;'WBS Schedule'!$H$66,0,MIN(1,NETWORKDAYS('WBS Schedule'!$H$66,$C$15,Holidays)/'WBS Schedule'!$G$66))*'WBS Schedule'!$P$66</f>
        <v>0</v>
      </c>
      <c r="M120" s="123" t="n">
        <f aca="false">IF($C$16&lt;'WBS Schedule'!$H$66,0,MIN(1,NETWORKDAYS('WBS Schedule'!$H$66,$C$16,Holidays)/'WBS Schedule'!$G$66))*'WBS Schedule'!$P$66</f>
        <v>0</v>
      </c>
      <c r="N120" s="123" t="n">
        <f aca="false">IF($C$17&lt;'WBS Schedule'!$H$66,0,MIN(1,NETWORKDAYS('WBS Schedule'!$H$66,$C$17,Holidays)/'WBS Schedule'!$G$66))*'WBS Schedule'!$P$66</f>
        <v>0</v>
      </c>
      <c r="O120" s="123" t="n">
        <f aca="false">IF($C$18&lt;'WBS Schedule'!$H$66,0,MIN(1,NETWORKDAYS('WBS Schedule'!$H$66,$C$18,Holidays)/'WBS Schedule'!$G$66))*'WBS Schedule'!$P$66</f>
        <v>0</v>
      </c>
      <c r="P120" s="123" t="n">
        <f aca="false">IF($C$19&lt;'WBS Schedule'!$H$66,0,MIN(1,NETWORKDAYS('WBS Schedule'!$H$66,$C$19,Holidays)/'WBS Schedule'!$G$66))*'WBS Schedule'!$P$66</f>
        <v>0</v>
      </c>
      <c r="Q120" s="123" t="n">
        <f aca="false">IF($C$20&lt;'WBS Schedule'!$H$66,0,MIN(1,NETWORKDAYS('WBS Schedule'!$H$66,$C$20,Holidays)/'WBS Schedule'!$G$66))*'WBS Schedule'!$P$66</f>
        <v>0</v>
      </c>
      <c r="R120" s="123" t="n">
        <f aca="false">IF($C$21&lt;'WBS Schedule'!$H$66,0,MIN(1,NETWORKDAYS('WBS Schedule'!$H$66,$C$21,Holidays)/'WBS Schedule'!$G$66))*'WBS Schedule'!$P$66</f>
        <v>0</v>
      </c>
      <c r="S120" s="123" t="n">
        <f aca="false">IF($C$22&lt;'WBS Schedule'!$H$66,0,MIN(1,NETWORKDAYS('WBS Schedule'!$H$66,$C$22,Holidays)/'WBS Schedule'!$G$66))*'WBS Schedule'!$P$66</f>
        <v>0</v>
      </c>
      <c r="T120" s="123" t="n">
        <f aca="false">IF($C$23&lt;'WBS Schedule'!$H$66,0,MIN(1,NETWORKDAYS('WBS Schedule'!$H$66,$C$23,Holidays)/'WBS Schedule'!$G$66))*'WBS Schedule'!$P$66</f>
        <v>0</v>
      </c>
      <c r="U120" s="123" t="n">
        <f aca="false">IF($C$24&lt;'WBS Schedule'!$H$66,0,MIN(1,NETWORKDAYS('WBS Schedule'!$H$66,$C$24,Holidays)/'WBS Schedule'!$G$66))*'WBS Schedule'!$P$66</f>
        <v>0</v>
      </c>
      <c r="V120" s="123" t="n">
        <f aca="false">IF($C$25&lt;'WBS Schedule'!$H$66,0,MIN(1,NETWORKDAYS('WBS Schedule'!$H$66,$C$25,Holidays)/'WBS Schedule'!$G$66))*'WBS Schedule'!$P$66</f>
        <v>1.28</v>
      </c>
    </row>
    <row r="121" customFormat="false" ht="15" hidden="false" customHeight="false" outlineLevel="0" collapsed="false">
      <c r="A121" s="0" t="str">
        <f aca="false">'WBS Schedule'!A67</f>
        <v>5.11</v>
      </c>
      <c r="B121" s="123" t="n">
        <f aca="false">IF($C$5&lt;'WBS Schedule'!$H$67,0,MIN(1,NETWORKDAYS('WBS Schedule'!$H$67,$C$5,Holidays)/'WBS Schedule'!$G$67))*'WBS Schedule'!$P$67</f>
        <v>0</v>
      </c>
      <c r="C121" s="123" t="n">
        <f aca="false">IF($C$6&lt;'WBS Schedule'!$H$67,0,MIN(1,NETWORKDAYS('WBS Schedule'!$H$67,$C$6,Holidays)/'WBS Schedule'!$G$67))*'WBS Schedule'!$P$67</f>
        <v>0</v>
      </c>
      <c r="D121" s="123" t="n">
        <f aca="false">IF($C$7&lt;'WBS Schedule'!$H$67,0,MIN(1,NETWORKDAYS('WBS Schedule'!$H$67,$C$7,Holidays)/'WBS Schedule'!$G$67))*'WBS Schedule'!$P$67</f>
        <v>0</v>
      </c>
      <c r="E121" s="123" t="n">
        <f aca="false">IF($C$8&lt;'WBS Schedule'!$H$67,0,MIN(1,NETWORKDAYS('WBS Schedule'!$H$67,$C$8,Holidays)/'WBS Schedule'!$G$67))*'WBS Schedule'!$P$67</f>
        <v>0</v>
      </c>
      <c r="F121" s="123" t="n">
        <f aca="false">IF($C$9&lt;'WBS Schedule'!$H$67,0,MIN(1,NETWORKDAYS('WBS Schedule'!$H$67,$C$9,Holidays)/'WBS Schedule'!$G$67))*'WBS Schedule'!$P$67</f>
        <v>0</v>
      </c>
      <c r="G121" s="123" t="n">
        <f aca="false">IF($C$10&lt;'WBS Schedule'!$H$67,0,MIN(1,NETWORKDAYS('WBS Schedule'!$H$67,$C$10,Holidays)/'WBS Schedule'!$G$67))*'WBS Schedule'!$P$67</f>
        <v>0</v>
      </c>
      <c r="H121" s="123" t="n">
        <f aca="false">IF($C$11&lt;'WBS Schedule'!$H$67,0,MIN(1,NETWORKDAYS('WBS Schedule'!$H$67,$C$11,Holidays)/'WBS Schedule'!$G$67))*'WBS Schedule'!$P$67</f>
        <v>0</v>
      </c>
      <c r="I121" s="123" t="n">
        <f aca="false">IF($C$12&lt;'WBS Schedule'!$H$67,0,MIN(1,NETWORKDAYS('WBS Schedule'!$H$67,$C$12,Holidays)/'WBS Schedule'!$G$67))*'WBS Schedule'!$P$67</f>
        <v>0</v>
      </c>
      <c r="J121" s="123" t="n">
        <f aca="false">IF($C$13&lt;'WBS Schedule'!$H$67,0,MIN(1,NETWORKDAYS('WBS Schedule'!$H$67,$C$13,Holidays)/'WBS Schedule'!$G$67))*'WBS Schedule'!$P$67</f>
        <v>0</v>
      </c>
      <c r="K121" s="123" t="n">
        <f aca="false">IF($C$14&lt;'WBS Schedule'!$H$67,0,MIN(1,NETWORKDAYS('WBS Schedule'!$H$67,$C$14,Holidays)/'WBS Schedule'!$G$67))*'WBS Schedule'!$P$67</f>
        <v>0</v>
      </c>
      <c r="L121" s="123" t="n">
        <f aca="false">IF($C$15&lt;'WBS Schedule'!$H$67,0,MIN(1,NETWORKDAYS('WBS Schedule'!$H$67,$C$15,Holidays)/'WBS Schedule'!$G$67))*'WBS Schedule'!$P$67</f>
        <v>0</v>
      </c>
      <c r="M121" s="123" t="n">
        <f aca="false">IF($C$16&lt;'WBS Schedule'!$H$67,0,MIN(1,NETWORKDAYS('WBS Schedule'!$H$67,$C$16,Holidays)/'WBS Schedule'!$G$67))*'WBS Schedule'!$P$67</f>
        <v>0</v>
      </c>
      <c r="N121" s="123" t="n">
        <f aca="false">IF($C$17&lt;'WBS Schedule'!$H$67,0,MIN(1,NETWORKDAYS('WBS Schedule'!$H$67,$C$17,Holidays)/'WBS Schedule'!$G$67))*'WBS Schedule'!$P$67</f>
        <v>0</v>
      </c>
      <c r="O121" s="123" t="n">
        <f aca="false">IF($C$18&lt;'WBS Schedule'!$H$67,0,MIN(1,NETWORKDAYS('WBS Schedule'!$H$67,$C$18,Holidays)/'WBS Schedule'!$G$67))*'WBS Schedule'!$P$67</f>
        <v>0</v>
      </c>
      <c r="P121" s="123" t="n">
        <f aca="false">IF($C$19&lt;'WBS Schedule'!$H$67,0,MIN(1,NETWORKDAYS('WBS Schedule'!$H$67,$C$19,Holidays)/'WBS Schedule'!$G$67))*'WBS Schedule'!$P$67</f>
        <v>0</v>
      </c>
      <c r="Q121" s="123" t="n">
        <f aca="false">IF($C$20&lt;'WBS Schedule'!$H$67,0,MIN(1,NETWORKDAYS('WBS Schedule'!$H$67,$C$20,Holidays)/'WBS Schedule'!$G$67))*'WBS Schedule'!$P$67</f>
        <v>0</v>
      </c>
      <c r="R121" s="123" t="n">
        <f aca="false">IF($C$21&lt;'WBS Schedule'!$H$67,0,MIN(1,NETWORKDAYS('WBS Schedule'!$H$67,$C$21,Holidays)/'WBS Schedule'!$G$67))*'WBS Schedule'!$P$67</f>
        <v>0</v>
      </c>
      <c r="S121" s="123" t="n">
        <f aca="false">IF($C$22&lt;'WBS Schedule'!$H$67,0,MIN(1,NETWORKDAYS('WBS Schedule'!$H$67,$C$22,Holidays)/'WBS Schedule'!$G$67))*'WBS Schedule'!$P$67</f>
        <v>0</v>
      </c>
      <c r="T121" s="123" t="n">
        <f aca="false">IF($C$23&lt;'WBS Schedule'!$H$67,0,MIN(1,NETWORKDAYS('WBS Schedule'!$H$67,$C$23,Holidays)/'WBS Schedule'!$G$67))*'WBS Schedule'!$P$67</f>
        <v>0</v>
      </c>
      <c r="U121" s="123" t="n">
        <f aca="false">IF($C$24&lt;'WBS Schedule'!$H$67,0,MIN(1,NETWORKDAYS('WBS Schedule'!$H$67,$C$24,Holidays)/'WBS Schedule'!$G$67))*'WBS Schedule'!$P$67</f>
        <v>0</v>
      </c>
      <c r="V121" s="123" t="n">
        <f aca="false">IF($C$25&lt;'WBS Schedule'!$H$67,0,MIN(1,NETWORKDAYS('WBS Schedule'!$H$67,$C$25,Holidays)/'WBS Schedule'!$G$67))*'WBS Schedule'!$P$67</f>
        <v>1.28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2026-10-10T09:34:09Z</dcterms:created>
  <dc:creator>openpyxl</dc:creator>
  <dc:description/>
  <dc:language>en-US</dc:language>
  <cp:lastModifiedBy/>
  <dcterms:modified xsi:type="dcterms:W3CDTF">2026-10-10T09:34:12Z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